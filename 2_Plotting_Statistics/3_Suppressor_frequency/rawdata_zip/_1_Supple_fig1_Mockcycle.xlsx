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3_Suppressor_frequency/rawdata_zip/"/>
    </mc:Choice>
  </mc:AlternateContent>
  <xr:revisionPtr revIDLastSave="1274" documentId="8_{549ECEC6-160E-4653-A2A8-011F54EC70A7}" xr6:coauthVersionLast="47" xr6:coauthVersionMax="47" xr10:uidLastSave="{DC2AA908-35D8-4492-BA47-1533533B8B88}"/>
  <bookViews>
    <workbookView xWindow="4188" yWindow="4188" windowWidth="19260" windowHeight="11556" activeTab="2" xr2:uid="{C745A869-6D68-4B8E-8E2E-0DF65F7D14EC}"/>
  </bookViews>
  <sheets>
    <sheet name="1stpanel" sheetId="13" r:id="rId1"/>
    <sheet name="2ndpanel" sheetId="11" r:id="rId2"/>
    <sheet name="3rdpanel" sheetId="4" r:id="rId3"/>
    <sheet name="1stpanel_counting" sheetId="14" r:id="rId4"/>
    <sheet name="2ndpanel_counting" sheetId="12" r:id="rId5"/>
    <sheet name="3rdpanel_counting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4" l="1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E13" i="11"/>
  <c r="E12" i="11"/>
  <c r="E11" i="11"/>
  <c r="E10" i="11"/>
  <c r="E9" i="11"/>
  <c r="E8" i="11"/>
  <c r="E7" i="11"/>
  <c r="E6" i="11"/>
  <c r="E5" i="11"/>
  <c r="E4" i="11"/>
  <c r="E3" i="11"/>
  <c r="E2" i="11"/>
  <c r="D13" i="13"/>
  <c r="D12" i="13"/>
  <c r="D11" i="13"/>
  <c r="D10" i="13"/>
  <c r="D9" i="13"/>
  <c r="D8" i="13"/>
  <c r="D7" i="13"/>
  <c r="D6" i="13"/>
  <c r="D5" i="13"/>
  <c r="D4" i="13"/>
  <c r="D3" i="13"/>
  <c r="D2" i="13"/>
  <c r="D7" i="12"/>
  <c r="C7" i="12"/>
  <c r="B7" i="12"/>
  <c r="D6" i="12"/>
  <c r="C6" i="12"/>
  <c r="B6" i="12" s="1"/>
  <c r="D5" i="12"/>
  <c r="C5" i="12"/>
  <c r="B5" i="12" s="1"/>
  <c r="D4" i="12"/>
  <c r="C4" i="12"/>
  <c r="B4" i="12"/>
  <c r="D3" i="12"/>
  <c r="C3" i="12"/>
  <c r="B3" i="12"/>
  <c r="D2" i="12"/>
  <c r="C2" i="12"/>
  <c r="B2" i="12" s="1"/>
  <c r="D13" i="12"/>
  <c r="C13" i="12"/>
  <c r="B13" i="12" s="1"/>
  <c r="D12" i="12"/>
  <c r="C12" i="12"/>
  <c r="B12" i="12" s="1"/>
  <c r="D11" i="12"/>
  <c r="C11" i="12"/>
  <c r="B11" i="12" s="1"/>
  <c r="D10" i="12"/>
  <c r="C10" i="12"/>
  <c r="D9" i="12"/>
  <c r="C9" i="12"/>
  <c r="B9" i="12"/>
  <c r="D8" i="12"/>
  <c r="C8" i="12"/>
  <c r="B8" i="12" s="1"/>
  <c r="C37" i="10"/>
  <c r="D37" i="10" s="1"/>
  <c r="B37" i="10"/>
  <c r="C36" i="10"/>
  <c r="D36" i="10" s="1"/>
  <c r="B36" i="10"/>
  <c r="C35" i="10"/>
  <c r="D35" i="10" s="1"/>
  <c r="B35" i="10"/>
  <c r="D34" i="10"/>
  <c r="C34" i="10"/>
  <c r="B34" i="10"/>
  <c r="D33" i="10"/>
  <c r="C33" i="10"/>
  <c r="B33" i="10"/>
  <c r="C32" i="10"/>
  <c r="D32" i="10" s="1"/>
  <c r="B32" i="10"/>
  <c r="C31" i="10"/>
  <c r="B31" i="10"/>
  <c r="D31" i="10" s="1"/>
  <c r="C30" i="10"/>
  <c r="B30" i="10"/>
  <c r="D30" i="10" s="1"/>
  <c r="C29" i="10"/>
  <c r="D29" i="10" s="1"/>
  <c r="B29" i="10"/>
  <c r="C28" i="10"/>
  <c r="D28" i="10" s="1"/>
  <c r="B28" i="10"/>
  <c r="C27" i="10"/>
  <c r="D27" i="10" s="1"/>
  <c r="B27" i="10"/>
  <c r="D26" i="10"/>
  <c r="C26" i="10"/>
  <c r="B26" i="10"/>
  <c r="D25" i="10"/>
  <c r="C25" i="10"/>
  <c r="B25" i="10"/>
  <c r="C24" i="10"/>
  <c r="D24" i="10" s="1"/>
  <c r="B24" i="10"/>
  <c r="C23" i="10"/>
  <c r="B23" i="10"/>
  <c r="D23" i="10" s="1"/>
  <c r="C22" i="10"/>
  <c r="B22" i="10"/>
  <c r="D22" i="10" s="1"/>
  <c r="C21" i="10"/>
  <c r="D21" i="10" s="1"/>
  <c r="B21" i="10"/>
  <c r="C20" i="10"/>
  <c r="D20" i="10" s="1"/>
  <c r="B20" i="10"/>
  <c r="C19" i="10"/>
  <c r="C17" i="10"/>
  <c r="C18" i="10"/>
  <c r="C10" i="10"/>
  <c r="C9" i="10"/>
  <c r="C8" i="10"/>
  <c r="B19" i="10"/>
  <c r="B18" i="10"/>
  <c r="B17" i="10"/>
  <c r="B10" i="10"/>
  <c r="B9" i="10"/>
  <c r="B8" i="10"/>
  <c r="C7" i="10"/>
  <c r="C16" i="10"/>
  <c r="C15" i="10"/>
  <c r="C14" i="10"/>
  <c r="C6" i="10"/>
  <c r="C5" i="10"/>
  <c r="B16" i="10"/>
  <c r="B15" i="10"/>
  <c r="B14" i="10"/>
  <c r="B7" i="10"/>
  <c r="B6" i="10"/>
  <c r="B5" i="10"/>
  <c r="C13" i="10"/>
  <c r="B12" i="10"/>
  <c r="C12" i="10"/>
  <c r="C11" i="10"/>
  <c r="B13" i="10"/>
  <c r="B11" i="10"/>
  <c r="C3" i="10"/>
  <c r="C4" i="10"/>
  <c r="C2" i="10"/>
  <c r="B4" i="10"/>
  <c r="B3" i="10"/>
  <c r="B2" i="10"/>
  <c r="B10" i="12" l="1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</calcChain>
</file>

<file path=xl/sharedStrings.xml><?xml version="1.0" encoding="utf-8"?>
<sst xmlns="http://schemas.openxmlformats.org/spreadsheetml/2006/main" count="293" uniqueCount="40">
  <si>
    <t>Types</t>
    <phoneticPr fontId="1" type="noConversion"/>
  </si>
  <si>
    <t>PCP</t>
    <phoneticPr fontId="1" type="noConversion"/>
  </si>
  <si>
    <t>YEG</t>
    <phoneticPr fontId="1" type="noConversion"/>
  </si>
  <si>
    <t>Suppression</t>
    <phoneticPr fontId="1" type="noConversion"/>
  </si>
  <si>
    <t>Suppression rate</t>
    <phoneticPr fontId="1" type="noConversion"/>
  </si>
  <si>
    <t>linker</t>
    <phoneticPr fontId="1" type="noConversion"/>
  </si>
  <si>
    <t>16 aa</t>
    <phoneticPr fontId="1" type="noConversion"/>
  </si>
  <si>
    <t>32 aa</t>
    <phoneticPr fontId="1" type="noConversion"/>
  </si>
  <si>
    <t>64 aa</t>
    <phoneticPr fontId="1" type="noConversion"/>
  </si>
  <si>
    <t>CasB bf.mock</t>
  </si>
  <si>
    <t>CasB aft.mock</t>
  </si>
  <si>
    <t>mock</t>
  </si>
  <si>
    <t>bf.mock</t>
  </si>
  <si>
    <t>aft.mock</t>
  </si>
  <si>
    <t>CasC bf.mock</t>
  </si>
  <si>
    <t>CasC aft.mock</t>
  </si>
  <si>
    <t>TadDE_L16_CasB</t>
  </si>
  <si>
    <t>TadDE_L16_CasB</t>
    <phoneticPr fontId="1" type="noConversion"/>
  </si>
  <si>
    <t>TadDE_L32_CasB</t>
  </si>
  <si>
    <t>TadDE_L64_CasB</t>
  </si>
  <si>
    <t>TadDE_L16_CasC</t>
  </si>
  <si>
    <t>TadDE_L32_CasC</t>
  </si>
  <si>
    <t>TadDE_L64_CasC</t>
  </si>
  <si>
    <t>Pm_L16_CasB</t>
  </si>
  <si>
    <t>Pm_L16_CasB UNG KO</t>
    <phoneticPr fontId="1" type="noConversion"/>
  </si>
  <si>
    <t>spacer</t>
    <phoneticPr fontId="1" type="noConversion"/>
  </si>
  <si>
    <t>33 nt</t>
    <phoneticPr fontId="1" type="noConversion"/>
  </si>
  <si>
    <t>mock</t>
    <phoneticPr fontId="1" type="noConversion"/>
  </si>
  <si>
    <t>Pm_L16_CasB_33nt</t>
    <phoneticPr fontId="1" type="noConversion"/>
  </si>
  <si>
    <t>Pm_L16_CasB_57nt</t>
    <phoneticPr fontId="1" type="noConversion"/>
  </si>
  <si>
    <t>Pm_L16_CasB</t>
    <phoneticPr fontId="1" type="noConversion"/>
  </si>
  <si>
    <t>TadDE_L32_CasB</t>
    <phoneticPr fontId="1" type="noConversion"/>
  </si>
  <si>
    <t>TadDE_L64_CasB</t>
    <phoneticPr fontId="1" type="noConversion"/>
  </si>
  <si>
    <t>TadDE_L16_CasC</t>
    <phoneticPr fontId="1" type="noConversion"/>
  </si>
  <si>
    <t>TadDE_L32_CasC</t>
    <phoneticPr fontId="1" type="noConversion"/>
  </si>
  <si>
    <t>TadDE_L64_CasC</t>
    <phoneticPr fontId="1" type="noConversion"/>
  </si>
  <si>
    <t>Types_mock</t>
    <phoneticPr fontId="1" type="noConversion"/>
  </si>
  <si>
    <t>Suppression_rate</t>
    <phoneticPr fontId="1" type="noConversion"/>
  </si>
  <si>
    <t>bf_mock</t>
    <phoneticPr fontId="1" type="noConversion"/>
  </si>
  <si>
    <t>aft_mock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</si>
</sst>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E29C-7B7A-4B25-8AAD-A85C09A97F9F}">
  <dimension ref="A1:D13"/>
  <sheetViews>
    <sheetView workbookViewId="0">
      <selection activeCell="C2" sqref="C2"/>
    </sheetView>
  </sheetViews>
  <sheetFormatPr defaultRowHeight="17.399999999999999" x14ac:dyDescent="0.4"/>
  <cols>
    <col min="1" max="1" width="23" customWidth="1"/>
  </cols>
  <sheetData>
    <row r="1" spans="1:4" x14ac:dyDescent="0.4">
      <c r="A1" t="s">
        <v>0</v>
      </c>
      <c r="B1" t="s">
        <v>37</v>
      </c>
      <c r="C1" t="s">
        <v>11</v>
      </c>
      <c r="D1" t="s">
        <v>36</v>
      </c>
    </row>
    <row r="2" spans="1:4" x14ac:dyDescent="0.4">
      <c r="A2" t="s">
        <v>28</v>
      </c>
      <c r="B2">
        <v>1.3333333333333334E-2</v>
      </c>
      <c r="C2" t="s">
        <v>38</v>
      </c>
      <c r="D2" t="str">
        <f>_xlfn.CONCAT(A2,"_",C2)</f>
        <v>Pm_L16_CasB_33nt_bf_mock</v>
      </c>
    </row>
    <row r="3" spans="1:4" x14ac:dyDescent="0.4">
      <c r="A3" t="s">
        <v>28</v>
      </c>
      <c r="B3">
        <v>6.6666666666666671E-3</v>
      </c>
      <c r="C3" t="s">
        <v>38</v>
      </c>
      <c r="D3" t="str">
        <f t="shared" ref="D3:D13" si="0">_xlfn.CONCAT(A3,"_",C3)</f>
        <v>Pm_L16_CasB_33nt_bf_mock</v>
      </c>
    </row>
    <row r="4" spans="1:4" x14ac:dyDescent="0.4">
      <c r="A4" t="s">
        <v>28</v>
      </c>
      <c r="B4">
        <v>8.3333333333333332E-3</v>
      </c>
      <c r="C4" t="s">
        <v>38</v>
      </c>
      <c r="D4" t="str">
        <f t="shared" si="0"/>
        <v>Pm_L16_CasB_33nt_bf_mock</v>
      </c>
    </row>
    <row r="5" spans="1:4" x14ac:dyDescent="0.4">
      <c r="A5" t="s">
        <v>29</v>
      </c>
      <c r="B5">
        <v>3.0769230769230769E-3</v>
      </c>
      <c r="C5" t="s">
        <v>38</v>
      </c>
      <c r="D5" t="str">
        <f t="shared" si="0"/>
        <v>Pm_L16_CasB_57nt_bf_mock</v>
      </c>
    </row>
    <row r="6" spans="1:4" x14ac:dyDescent="0.4">
      <c r="A6" t="s">
        <v>29</v>
      </c>
      <c r="B6">
        <v>3.6363636363636364E-3</v>
      </c>
      <c r="C6" t="s">
        <v>38</v>
      </c>
      <c r="D6" t="str">
        <f t="shared" si="0"/>
        <v>Pm_L16_CasB_57nt_bf_mock</v>
      </c>
    </row>
    <row r="7" spans="1:4" x14ac:dyDescent="0.4">
      <c r="A7" t="s">
        <v>29</v>
      </c>
      <c r="B7">
        <v>4.5454545454545452E-3</v>
      </c>
      <c r="C7" t="s">
        <v>38</v>
      </c>
      <c r="D7" t="str">
        <f t="shared" si="0"/>
        <v>Pm_L16_CasB_57nt_bf_mock</v>
      </c>
    </row>
    <row r="8" spans="1:4" x14ac:dyDescent="0.4">
      <c r="A8" t="s">
        <v>28</v>
      </c>
      <c r="B8">
        <v>8.3333333333333332E-3</v>
      </c>
      <c r="C8" t="s">
        <v>39</v>
      </c>
      <c r="D8" t="str">
        <f t="shared" si="0"/>
        <v>Pm_L16_CasB_33nt_aft_mock</v>
      </c>
    </row>
    <row r="9" spans="1:4" x14ac:dyDescent="0.4">
      <c r="A9" t="s">
        <v>28</v>
      </c>
      <c r="B9">
        <v>5.0000000000000001E-3</v>
      </c>
      <c r="C9" t="s">
        <v>39</v>
      </c>
      <c r="D9" t="str">
        <f t="shared" si="0"/>
        <v>Pm_L16_CasB_33nt_aft_mock</v>
      </c>
    </row>
    <row r="10" spans="1:4" x14ac:dyDescent="0.4">
      <c r="A10" t="s">
        <v>28</v>
      </c>
      <c r="B10">
        <v>0.02</v>
      </c>
      <c r="C10" t="s">
        <v>39</v>
      </c>
      <c r="D10" t="str">
        <f t="shared" si="0"/>
        <v>Pm_L16_CasB_33nt_aft_mock</v>
      </c>
    </row>
    <row r="11" spans="1:4" x14ac:dyDescent="0.4">
      <c r="A11" t="s">
        <v>29</v>
      </c>
      <c r="B11">
        <v>3.3333333333333335E-3</v>
      </c>
      <c r="C11" t="s">
        <v>39</v>
      </c>
      <c r="D11" t="str">
        <f t="shared" si="0"/>
        <v>Pm_L16_CasB_57nt_aft_mock</v>
      </c>
    </row>
    <row r="12" spans="1:4" x14ac:dyDescent="0.4">
      <c r="A12" t="s">
        <v>29</v>
      </c>
      <c r="B12">
        <v>7.0000000000000001E-3</v>
      </c>
      <c r="C12" t="s">
        <v>39</v>
      </c>
      <c r="D12" t="str">
        <f t="shared" si="0"/>
        <v>Pm_L16_CasB_57nt_aft_mock</v>
      </c>
    </row>
    <row r="13" spans="1:4" x14ac:dyDescent="0.4">
      <c r="A13" t="s">
        <v>29</v>
      </c>
      <c r="B13">
        <v>2.7272727272727275E-3</v>
      </c>
      <c r="C13" t="s">
        <v>39</v>
      </c>
      <c r="D13" t="str">
        <f t="shared" si="0"/>
        <v>Pm_L16_CasB_57nt_aft_mock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0AE3-6E96-4FFA-BD78-A3CD8604D7AC}">
  <dimension ref="A1:E13"/>
  <sheetViews>
    <sheetView workbookViewId="0">
      <selection activeCell="C13" sqref="C13"/>
    </sheetView>
  </sheetViews>
  <sheetFormatPr defaultRowHeight="17.399999999999999" x14ac:dyDescent="0.4"/>
  <cols>
    <col min="1" max="1" width="15.09765625" customWidth="1"/>
  </cols>
  <sheetData>
    <row r="1" spans="1:5" x14ac:dyDescent="0.4">
      <c r="A1" t="s">
        <v>0</v>
      </c>
      <c r="B1" t="s">
        <v>37</v>
      </c>
      <c r="C1" t="s">
        <v>11</v>
      </c>
      <c r="D1" t="s">
        <v>25</v>
      </c>
      <c r="E1" t="s">
        <v>36</v>
      </c>
    </row>
    <row r="2" spans="1:5" x14ac:dyDescent="0.4">
      <c r="A2" t="s">
        <v>30</v>
      </c>
      <c r="B2">
        <v>6.0000000000000001E-3</v>
      </c>
      <c r="C2" t="s">
        <v>38</v>
      </c>
      <c r="D2" t="s">
        <v>26</v>
      </c>
      <c r="E2" t="str">
        <f>_xlfn.CONCAT(A2,"_",C2)</f>
        <v>Pm_L16_CasB_bf_mock</v>
      </c>
    </row>
    <row r="3" spans="1:5" x14ac:dyDescent="0.4">
      <c r="A3" t="s">
        <v>23</v>
      </c>
      <c r="B3">
        <v>5.0000000000000001E-3</v>
      </c>
      <c r="C3" t="s">
        <v>38</v>
      </c>
      <c r="D3" t="s">
        <v>26</v>
      </c>
      <c r="E3" t="str">
        <f t="shared" ref="E3:E13" si="0">_xlfn.CONCAT(A3,"_",C3)</f>
        <v>Pm_L16_CasB_bf_mock</v>
      </c>
    </row>
    <row r="4" spans="1:5" x14ac:dyDescent="0.4">
      <c r="A4" t="s">
        <v>23</v>
      </c>
      <c r="B4">
        <v>1.8749999999999999E-3</v>
      </c>
      <c r="C4" t="s">
        <v>38</v>
      </c>
      <c r="D4" t="s">
        <v>26</v>
      </c>
      <c r="E4" t="str">
        <f t="shared" si="0"/>
        <v>Pm_L16_CasB_bf_mock</v>
      </c>
    </row>
    <row r="5" spans="1:5" x14ac:dyDescent="0.4">
      <c r="A5" t="s">
        <v>24</v>
      </c>
      <c r="B5">
        <v>3.6666666666666666E-3</v>
      </c>
      <c r="C5" t="s">
        <v>38</v>
      </c>
      <c r="D5" t="s">
        <v>26</v>
      </c>
      <c r="E5" t="str">
        <f t="shared" si="0"/>
        <v>Pm_L16_CasB UNG KO_bf_mock</v>
      </c>
    </row>
    <row r="6" spans="1:5" x14ac:dyDescent="0.4">
      <c r="A6" t="s">
        <v>24</v>
      </c>
      <c r="B6">
        <v>1.9499999999999999E-3</v>
      </c>
      <c r="C6" t="s">
        <v>38</v>
      </c>
      <c r="D6" t="s">
        <v>26</v>
      </c>
      <c r="E6" t="str">
        <f t="shared" si="0"/>
        <v>Pm_L16_CasB UNG KO_bf_mock</v>
      </c>
    </row>
    <row r="7" spans="1:5" x14ac:dyDescent="0.4">
      <c r="A7" t="s">
        <v>24</v>
      </c>
      <c r="B7">
        <v>9.7999999999999997E-4</v>
      </c>
      <c r="C7" t="s">
        <v>38</v>
      </c>
      <c r="D7" t="s">
        <v>26</v>
      </c>
      <c r="E7" t="str">
        <f t="shared" si="0"/>
        <v>Pm_L16_CasB UNG KO_bf_mock</v>
      </c>
    </row>
    <row r="8" spans="1:5" x14ac:dyDescent="0.4">
      <c r="A8" t="s">
        <v>23</v>
      </c>
      <c r="B8">
        <v>2.5000000000000001E-3</v>
      </c>
      <c r="C8" t="s">
        <v>39</v>
      </c>
      <c r="D8" t="s">
        <v>26</v>
      </c>
      <c r="E8" t="str">
        <f t="shared" si="0"/>
        <v>Pm_L16_CasB_aft_mock</v>
      </c>
    </row>
    <row r="9" spans="1:5" x14ac:dyDescent="0.4">
      <c r="A9" t="s">
        <v>23</v>
      </c>
      <c r="B9">
        <v>7.1428571428571426E-3</v>
      </c>
      <c r="C9" t="s">
        <v>39</v>
      </c>
      <c r="D9" t="s">
        <v>26</v>
      </c>
      <c r="E9" t="str">
        <f t="shared" si="0"/>
        <v>Pm_L16_CasB_aft_mock</v>
      </c>
    </row>
    <row r="10" spans="1:5" x14ac:dyDescent="0.4">
      <c r="A10" t="s">
        <v>23</v>
      </c>
      <c r="B10">
        <v>4.4999999999999997E-3</v>
      </c>
      <c r="C10" t="s">
        <v>39</v>
      </c>
      <c r="D10" t="s">
        <v>26</v>
      </c>
      <c r="E10" t="str">
        <f t="shared" si="0"/>
        <v>Pm_L16_CasB_aft_mock</v>
      </c>
    </row>
    <row r="11" spans="1:5" x14ac:dyDescent="0.4">
      <c r="A11" t="s">
        <v>24</v>
      </c>
      <c r="B11">
        <v>7.3333333333333332E-3</v>
      </c>
      <c r="C11" t="s">
        <v>39</v>
      </c>
      <c r="D11" t="s">
        <v>26</v>
      </c>
      <c r="E11" t="str">
        <f t="shared" si="0"/>
        <v>Pm_L16_CasB UNG KO_aft_mock</v>
      </c>
    </row>
    <row r="12" spans="1:5" x14ac:dyDescent="0.4">
      <c r="A12" t="s">
        <v>24</v>
      </c>
      <c r="B12">
        <v>2.8124999999999999E-3</v>
      </c>
      <c r="C12" t="s">
        <v>39</v>
      </c>
      <c r="D12" t="s">
        <v>26</v>
      </c>
      <c r="E12" t="str">
        <f t="shared" si="0"/>
        <v>Pm_L16_CasB UNG KO_aft_mock</v>
      </c>
    </row>
    <row r="13" spans="1:5" x14ac:dyDescent="0.4">
      <c r="A13" t="s">
        <v>24</v>
      </c>
      <c r="B13">
        <v>4.4000000000000003E-3</v>
      </c>
      <c r="C13" t="s">
        <v>39</v>
      </c>
      <c r="D13" t="s">
        <v>26</v>
      </c>
      <c r="E13" t="str">
        <f t="shared" si="0"/>
        <v>Pm_L16_CasB UNG KO_aft_mock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41E7-CBBC-4F23-A933-E26A12F80D87}">
  <dimension ref="A1:D37"/>
  <sheetViews>
    <sheetView tabSelected="1" workbookViewId="0">
      <selection activeCell="F22" sqref="F22"/>
    </sheetView>
  </sheetViews>
  <sheetFormatPr defaultRowHeight="17.399999999999999" x14ac:dyDescent="0.4"/>
  <cols>
    <col min="1" max="1" width="12.69921875" bestFit="1" customWidth="1"/>
    <col min="2" max="2" width="15.3984375" bestFit="1" customWidth="1"/>
  </cols>
  <sheetData>
    <row r="1" spans="1:4" x14ac:dyDescent="0.4">
      <c r="A1" t="s">
        <v>0</v>
      </c>
      <c r="B1" t="s">
        <v>37</v>
      </c>
      <c r="C1" t="s">
        <v>11</v>
      </c>
      <c r="D1" t="s">
        <v>36</v>
      </c>
    </row>
    <row r="2" spans="1:4" x14ac:dyDescent="0.4">
      <c r="A2" t="s">
        <v>17</v>
      </c>
      <c r="B2">
        <v>4.736842105263158E-2</v>
      </c>
      <c r="C2" t="s">
        <v>38</v>
      </c>
      <c r="D2" t="str">
        <f>_xlfn.CONCAT(A2,"_",C2)</f>
        <v>TadDE_L16_CasB_bf_mock</v>
      </c>
    </row>
    <row r="3" spans="1:4" x14ac:dyDescent="0.4">
      <c r="A3" t="s">
        <v>16</v>
      </c>
      <c r="B3">
        <v>0.01</v>
      </c>
      <c r="C3" t="s">
        <v>38</v>
      </c>
      <c r="D3" t="str">
        <f t="shared" ref="D3:D37" si="0">_xlfn.CONCAT(A3,"_",C3)</f>
        <v>TadDE_L16_CasB_bf_mock</v>
      </c>
    </row>
    <row r="4" spans="1:4" x14ac:dyDescent="0.4">
      <c r="A4" t="s">
        <v>16</v>
      </c>
      <c r="B4">
        <v>0.01</v>
      </c>
      <c r="C4" t="s">
        <v>38</v>
      </c>
      <c r="D4" t="str">
        <f t="shared" si="0"/>
        <v>TadDE_L16_CasB_bf_mock</v>
      </c>
    </row>
    <row r="5" spans="1:4" x14ac:dyDescent="0.4">
      <c r="A5" t="s">
        <v>18</v>
      </c>
      <c r="B5">
        <v>1.176470588235294E-3</v>
      </c>
      <c r="C5" t="s">
        <v>38</v>
      </c>
      <c r="D5" t="str">
        <f t="shared" si="0"/>
        <v>TadDE_L32_CasB_bf_mock</v>
      </c>
    </row>
    <row r="6" spans="1:4" x14ac:dyDescent="0.4">
      <c r="A6" t="s">
        <v>18</v>
      </c>
      <c r="B6">
        <v>1.3333333333333333E-3</v>
      </c>
      <c r="C6" t="s">
        <v>38</v>
      </c>
      <c r="D6" t="str">
        <f t="shared" si="0"/>
        <v>TadDE_L32_CasB_bf_mock</v>
      </c>
    </row>
    <row r="7" spans="1:4" x14ac:dyDescent="0.4">
      <c r="A7" t="s">
        <v>31</v>
      </c>
      <c r="B7">
        <v>4.5454545454545452E-3</v>
      </c>
      <c r="C7" t="s">
        <v>38</v>
      </c>
      <c r="D7" t="str">
        <f t="shared" si="0"/>
        <v>TadDE_L32_CasB_bf_mock</v>
      </c>
    </row>
    <row r="8" spans="1:4" x14ac:dyDescent="0.4">
      <c r="A8" t="s">
        <v>19</v>
      </c>
      <c r="B8">
        <v>1.8E-3</v>
      </c>
      <c r="C8" t="s">
        <v>38</v>
      </c>
      <c r="D8" t="str">
        <f t="shared" si="0"/>
        <v>TadDE_L64_CasB_bf_mock</v>
      </c>
    </row>
    <row r="9" spans="1:4" x14ac:dyDescent="0.4">
      <c r="A9" t="s">
        <v>32</v>
      </c>
      <c r="B9">
        <v>1.5E-3</v>
      </c>
      <c r="C9" t="s">
        <v>38</v>
      </c>
      <c r="D9" t="str">
        <f t="shared" si="0"/>
        <v>TadDE_L64_CasB_bf_mock</v>
      </c>
    </row>
    <row r="10" spans="1:4" x14ac:dyDescent="0.4">
      <c r="A10" t="s">
        <v>19</v>
      </c>
      <c r="B10">
        <v>2E-3</v>
      </c>
      <c r="C10" t="s">
        <v>38</v>
      </c>
      <c r="D10" t="str">
        <f t="shared" si="0"/>
        <v>TadDE_L64_CasB_bf_mock</v>
      </c>
    </row>
    <row r="11" spans="1:4" x14ac:dyDescent="0.4">
      <c r="A11" t="s">
        <v>16</v>
      </c>
      <c r="B11">
        <v>2.6923076923076925E-2</v>
      </c>
      <c r="C11" t="s">
        <v>39</v>
      </c>
      <c r="D11" t="str">
        <f t="shared" si="0"/>
        <v>TadDE_L16_CasB_aft_mock</v>
      </c>
    </row>
    <row r="12" spans="1:4" x14ac:dyDescent="0.4">
      <c r="A12" t="s">
        <v>16</v>
      </c>
      <c r="B12">
        <v>1.2500000000000001E-2</v>
      </c>
      <c r="C12" t="s">
        <v>39</v>
      </c>
      <c r="D12" t="str">
        <f t="shared" si="0"/>
        <v>TadDE_L16_CasB_aft_mock</v>
      </c>
    </row>
    <row r="13" spans="1:4" x14ac:dyDescent="0.4">
      <c r="A13" t="s">
        <v>16</v>
      </c>
      <c r="B13">
        <v>3.3333333333333333E-2</v>
      </c>
      <c r="C13" t="s">
        <v>39</v>
      </c>
      <c r="D13" t="str">
        <f t="shared" si="0"/>
        <v>TadDE_L16_CasB_aft_mock</v>
      </c>
    </row>
    <row r="14" spans="1:4" x14ac:dyDescent="0.4">
      <c r="A14" t="s">
        <v>18</v>
      </c>
      <c r="B14">
        <v>1.3333333333333333E-3</v>
      </c>
      <c r="C14" t="s">
        <v>39</v>
      </c>
      <c r="D14" t="str">
        <f t="shared" si="0"/>
        <v>TadDE_L32_CasB_aft_mock</v>
      </c>
    </row>
    <row r="15" spans="1:4" x14ac:dyDescent="0.4">
      <c r="A15" t="s">
        <v>18</v>
      </c>
      <c r="B15">
        <v>3.8461538461538464E-3</v>
      </c>
      <c r="C15" t="s">
        <v>39</v>
      </c>
      <c r="D15" t="str">
        <f t="shared" si="0"/>
        <v>TadDE_L32_CasB_aft_mock</v>
      </c>
    </row>
    <row r="16" spans="1:4" x14ac:dyDescent="0.4">
      <c r="A16" t="s">
        <v>18</v>
      </c>
      <c r="B16">
        <v>2.352941176470588E-3</v>
      </c>
      <c r="C16" t="s">
        <v>39</v>
      </c>
      <c r="D16" t="str">
        <f t="shared" si="0"/>
        <v>TadDE_L32_CasB_aft_mock</v>
      </c>
    </row>
    <row r="17" spans="1:4" x14ac:dyDescent="0.4">
      <c r="A17" t="s">
        <v>19</v>
      </c>
      <c r="B17">
        <v>1.9444444444444443E-4</v>
      </c>
      <c r="C17" t="s">
        <v>39</v>
      </c>
      <c r="D17" t="str">
        <f t="shared" si="0"/>
        <v>TadDE_L64_CasB_aft_mock</v>
      </c>
    </row>
    <row r="18" spans="1:4" x14ac:dyDescent="0.4">
      <c r="A18" t="s">
        <v>19</v>
      </c>
      <c r="B18">
        <v>1.3333333333333333E-3</v>
      </c>
      <c r="C18" t="s">
        <v>39</v>
      </c>
      <c r="D18" t="str">
        <f t="shared" si="0"/>
        <v>TadDE_L64_CasB_aft_mock</v>
      </c>
    </row>
    <row r="19" spans="1:4" x14ac:dyDescent="0.4">
      <c r="A19" t="s">
        <v>19</v>
      </c>
      <c r="B19">
        <v>1E-3</v>
      </c>
      <c r="C19" t="s">
        <v>39</v>
      </c>
      <c r="D19" t="str">
        <f t="shared" si="0"/>
        <v>TadDE_L64_CasB_aft_mock</v>
      </c>
    </row>
    <row r="20" spans="1:4" x14ac:dyDescent="0.4">
      <c r="A20" t="s">
        <v>20</v>
      </c>
      <c r="B20">
        <v>1.1666666666666668E-3</v>
      </c>
      <c r="C20" t="s">
        <v>38</v>
      </c>
      <c r="D20" t="str">
        <f t="shared" si="0"/>
        <v>TadDE_L16_CasC_bf_mock</v>
      </c>
    </row>
    <row r="21" spans="1:4" x14ac:dyDescent="0.4">
      <c r="A21" t="s">
        <v>20</v>
      </c>
      <c r="B21">
        <v>1.6666666666666668E-3</v>
      </c>
      <c r="C21" t="s">
        <v>38</v>
      </c>
      <c r="D21" t="str">
        <f t="shared" si="0"/>
        <v>TadDE_L16_CasC_bf_mock</v>
      </c>
    </row>
    <row r="22" spans="1:4" x14ac:dyDescent="0.4">
      <c r="A22" t="s">
        <v>20</v>
      </c>
      <c r="B22">
        <v>5.9999999999999995E-4</v>
      </c>
      <c r="C22" t="s">
        <v>38</v>
      </c>
      <c r="D22" t="str">
        <f t="shared" si="0"/>
        <v>TadDE_L16_CasC_bf_mock</v>
      </c>
    </row>
    <row r="23" spans="1:4" x14ac:dyDescent="0.4">
      <c r="A23" t="s">
        <v>21</v>
      </c>
      <c r="B23">
        <v>3.0000000000000001E-3</v>
      </c>
      <c r="C23" t="s">
        <v>38</v>
      </c>
      <c r="D23" t="str">
        <f t="shared" si="0"/>
        <v>TadDE_L32_CasC_bf_mock</v>
      </c>
    </row>
    <row r="24" spans="1:4" x14ac:dyDescent="0.4">
      <c r="A24" t="s">
        <v>21</v>
      </c>
      <c r="B24">
        <v>7.5000000000000002E-4</v>
      </c>
      <c r="C24" t="s">
        <v>38</v>
      </c>
      <c r="D24" t="str">
        <f t="shared" si="0"/>
        <v>TadDE_L32_CasC_bf_mock</v>
      </c>
    </row>
    <row r="25" spans="1:4" x14ac:dyDescent="0.4">
      <c r="A25" t="s">
        <v>21</v>
      </c>
      <c r="B25">
        <v>2.6666666666666666E-3</v>
      </c>
      <c r="C25" t="s">
        <v>38</v>
      </c>
      <c r="D25" t="str">
        <f t="shared" si="0"/>
        <v>TadDE_L32_CasC_bf_mock</v>
      </c>
    </row>
    <row r="26" spans="1:4" x14ac:dyDescent="0.4">
      <c r="A26" t="s">
        <v>22</v>
      </c>
      <c r="B26">
        <v>1E-3</v>
      </c>
      <c r="C26" t="s">
        <v>38</v>
      </c>
      <c r="D26" t="str">
        <f t="shared" si="0"/>
        <v>TadDE_L64_CasC_bf_mock</v>
      </c>
    </row>
    <row r="27" spans="1:4" x14ac:dyDescent="0.4">
      <c r="A27" t="s">
        <v>22</v>
      </c>
      <c r="B27">
        <v>5.0000000000000001E-4</v>
      </c>
      <c r="C27" t="s">
        <v>38</v>
      </c>
      <c r="D27" t="str">
        <f t="shared" si="0"/>
        <v>TadDE_L64_CasC_bf_mock</v>
      </c>
    </row>
    <row r="28" spans="1:4" x14ac:dyDescent="0.4">
      <c r="A28" t="s">
        <v>22</v>
      </c>
      <c r="B28">
        <v>6.6666666666666664E-4</v>
      </c>
      <c r="C28" t="s">
        <v>38</v>
      </c>
      <c r="D28" t="str">
        <f t="shared" si="0"/>
        <v>TadDE_L64_CasC_bf_mock</v>
      </c>
    </row>
    <row r="29" spans="1:4" x14ac:dyDescent="0.4">
      <c r="A29" t="s">
        <v>20</v>
      </c>
      <c r="B29">
        <v>2.631578947368421E-4</v>
      </c>
      <c r="C29" t="s">
        <v>39</v>
      </c>
      <c r="D29" t="str">
        <f t="shared" si="0"/>
        <v>TadDE_L16_CasC_aft_mock</v>
      </c>
    </row>
    <row r="30" spans="1:4" x14ac:dyDescent="0.4">
      <c r="A30" t="s">
        <v>20</v>
      </c>
      <c r="B30">
        <v>5.9999999999999995E-4</v>
      </c>
      <c r="C30" t="s">
        <v>39</v>
      </c>
      <c r="D30" t="str">
        <f t="shared" si="0"/>
        <v>TadDE_L16_CasC_aft_mock</v>
      </c>
    </row>
    <row r="31" spans="1:4" x14ac:dyDescent="0.4">
      <c r="A31" t="s">
        <v>33</v>
      </c>
      <c r="B31">
        <v>1.5E-3</v>
      </c>
      <c r="C31" t="s">
        <v>39</v>
      </c>
      <c r="D31" t="str">
        <f t="shared" si="0"/>
        <v>TadDE_L16_CasC_aft_mock</v>
      </c>
    </row>
    <row r="32" spans="1:4" x14ac:dyDescent="0.4">
      <c r="A32" t="s">
        <v>21</v>
      </c>
      <c r="B32">
        <v>1.6000000000000001E-3</v>
      </c>
      <c r="C32" t="s">
        <v>39</v>
      </c>
      <c r="D32" t="str">
        <f t="shared" si="0"/>
        <v>TadDE_L32_CasC_aft_mock</v>
      </c>
    </row>
    <row r="33" spans="1:4" x14ac:dyDescent="0.4">
      <c r="A33" t="s">
        <v>34</v>
      </c>
      <c r="B33">
        <v>7.5000000000000002E-4</v>
      </c>
      <c r="C33" t="s">
        <v>39</v>
      </c>
      <c r="D33" t="str">
        <f t="shared" si="0"/>
        <v>TadDE_L32_CasC_aft_mock</v>
      </c>
    </row>
    <row r="34" spans="1:4" x14ac:dyDescent="0.4">
      <c r="A34" t="s">
        <v>21</v>
      </c>
      <c r="B34">
        <v>1.8367346938775509E-3</v>
      </c>
      <c r="C34" t="s">
        <v>39</v>
      </c>
      <c r="D34" t="str">
        <f t="shared" si="0"/>
        <v>TadDE_L32_CasC_aft_mock</v>
      </c>
    </row>
    <row r="35" spans="1:4" x14ac:dyDescent="0.4">
      <c r="A35" t="s">
        <v>35</v>
      </c>
      <c r="B35">
        <v>2.9999999999999997E-4</v>
      </c>
      <c r="C35" t="s">
        <v>39</v>
      </c>
      <c r="D35" t="str">
        <f t="shared" si="0"/>
        <v>TadDE_L64_CasC_aft_mock</v>
      </c>
    </row>
    <row r="36" spans="1:4" x14ac:dyDescent="0.4">
      <c r="A36" t="s">
        <v>22</v>
      </c>
      <c r="B36">
        <v>2.6666666666666666E-3</v>
      </c>
      <c r="C36" t="s">
        <v>39</v>
      </c>
      <c r="D36" t="str">
        <f t="shared" si="0"/>
        <v>TadDE_L64_CasC_aft_mock</v>
      </c>
    </row>
    <row r="37" spans="1:4" x14ac:dyDescent="0.4">
      <c r="A37" t="s">
        <v>22</v>
      </c>
      <c r="B37">
        <v>1E-3</v>
      </c>
      <c r="C37" t="s">
        <v>39</v>
      </c>
      <c r="D37" t="str">
        <f t="shared" si="0"/>
        <v>TadDE_L64_CasC_aft_mock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DF1A-2190-4C6C-BBCC-9AB8A88B7770}">
  <dimension ref="A1:E13"/>
  <sheetViews>
    <sheetView workbookViewId="0">
      <selection activeCell="N7" sqref="N7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4</v>
      </c>
      <c r="E1" t="s">
        <v>27</v>
      </c>
    </row>
    <row r="2" spans="1:5" x14ac:dyDescent="0.4">
      <c r="A2" t="s">
        <v>28</v>
      </c>
      <c r="B2">
        <v>300000</v>
      </c>
      <c r="C2">
        <v>4000</v>
      </c>
      <c r="D2">
        <v>1.3333333333333334E-2</v>
      </c>
      <c r="E2" t="s">
        <v>12</v>
      </c>
    </row>
    <row r="3" spans="1:5" x14ac:dyDescent="0.4">
      <c r="A3" t="s">
        <v>28</v>
      </c>
      <c r="B3">
        <v>600000</v>
      </c>
      <c r="C3">
        <v>4000</v>
      </c>
      <c r="D3">
        <v>6.6666666666666671E-3</v>
      </c>
      <c r="E3" t="s">
        <v>12</v>
      </c>
    </row>
    <row r="4" spans="1:5" x14ac:dyDescent="0.4">
      <c r="A4" t="s">
        <v>28</v>
      </c>
      <c r="B4">
        <v>600000</v>
      </c>
      <c r="C4">
        <v>5000</v>
      </c>
      <c r="D4">
        <v>8.3333333333333332E-3</v>
      </c>
      <c r="E4" t="s">
        <v>12</v>
      </c>
    </row>
    <row r="5" spans="1:5" x14ac:dyDescent="0.4">
      <c r="A5" t="s">
        <v>29</v>
      </c>
      <c r="B5">
        <v>1300000</v>
      </c>
      <c r="C5">
        <v>4000</v>
      </c>
      <c r="D5">
        <v>3.0769230769230769E-3</v>
      </c>
      <c r="E5" t="s">
        <v>12</v>
      </c>
    </row>
    <row r="6" spans="1:5" x14ac:dyDescent="0.4">
      <c r="A6" t="s">
        <v>29</v>
      </c>
      <c r="B6">
        <v>1100000</v>
      </c>
      <c r="C6">
        <v>4000</v>
      </c>
      <c r="D6">
        <v>3.6363636363636364E-3</v>
      </c>
      <c r="E6" t="s">
        <v>12</v>
      </c>
    </row>
    <row r="7" spans="1:5" x14ac:dyDescent="0.4">
      <c r="A7" t="s">
        <v>29</v>
      </c>
      <c r="B7">
        <v>1100000</v>
      </c>
      <c r="C7">
        <v>5000</v>
      </c>
      <c r="D7">
        <v>4.5454545454545452E-3</v>
      </c>
      <c r="E7" t="s">
        <v>12</v>
      </c>
    </row>
    <row r="8" spans="1:5" x14ac:dyDescent="0.4">
      <c r="A8" t="s">
        <v>28</v>
      </c>
      <c r="B8">
        <v>6000000</v>
      </c>
      <c r="C8">
        <v>50000</v>
      </c>
      <c r="D8">
        <v>8.3333333333333332E-3</v>
      </c>
      <c r="E8" t="s">
        <v>13</v>
      </c>
    </row>
    <row r="9" spans="1:5" x14ac:dyDescent="0.4">
      <c r="A9" t="s">
        <v>28</v>
      </c>
      <c r="B9">
        <v>16000000</v>
      </c>
      <c r="C9">
        <v>80000</v>
      </c>
      <c r="D9">
        <v>5.0000000000000001E-3</v>
      </c>
      <c r="E9" t="s">
        <v>13</v>
      </c>
    </row>
    <row r="10" spans="1:5" x14ac:dyDescent="0.4">
      <c r="A10" t="s">
        <v>28</v>
      </c>
      <c r="B10">
        <v>4000000</v>
      </c>
      <c r="C10">
        <v>80000</v>
      </c>
      <c r="D10">
        <v>0.02</v>
      </c>
      <c r="E10" t="s">
        <v>13</v>
      </c>
    </row>
    <row r="11" spans="1:5" x14ac:dyDescent="0.4">
      <c r="A11" t="s">
        <v>29</v>
      </c>
      <c r="B11">
        <v>12000000</v>
      </c>
      <c r="C11">
        <v>40000</v>
      </c>
      <c r="D11">
        <v>3.3333333333333335E-3</v>
      </c>
      <c r="E11" t="s">
        <v>13</v>
      </c>
    </row>
    <row r="12" spans="1:5" x14ac:dyDescent="0.4">
      <c r="A12" t="s">
        <v>29</v>
      </c>
      <c r="B12">
        <v>10000000</v>
      </c>
      <c r="C12">
        <v>70000</v>
      </c>
      <c r="D12">
        <v>7.0000000000000001E-3</v>
      </c>
      <c r="E12" t="s">
        <v>13</v>
      </c>
    </row>
    <row r="13" spans="1:5" x14ac:dyDescent="0.4">
      <c r="A13" t="s">
        <v>29</v>
      </c>
      <c r="B13">
        <v>11000000</v>
      </c>
      <c r="C13">
        <v>30000</v>
      </c>
      <c r="D13">
        <v>2.7272727272727275E-3</v>
      </c>
      <c r="E13" t="s">
        <v>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77EA-4C38-4A4F-B7DD-D54597A3C277}">
  <dimension ref="A1:F13"/>
  <sheetViews>
    <sheetView workbookViewId="0">
      <selection sqref="A1:F1"/>
    </sheetView>
  </sheetViews>
  <sheetFormatPr defaultRowHeight="17.399999999999999" x14ac:dyDescent="0.4"/>
  <cols>
    <col min="1" max="1" width="21" bestFit="1" customWidth="1"/>
  </cols>
  <sheetData>
    <row r="1" spans="1:6" x14ac:dyDescent="0.4">
      <c r="A1" t="s">
        <v>0</v>
      </c>
      <c r="B1" t="s">
        <v>4</v>
      </c>
      <c r="C1" t="s">
        <v>1</v>
      </c>
      <c r="D1" t="s">
        <v>2</v>
      </c>
      <c r="E1" t="s">
        <v>27</v>
      </c>
      <c r="F1" t="s">
        <v>25</v>
      </c>
    </row>
    <row r="2" spans="1:6" x14ac:dyDescent="0.4">
      <c r="A2" t="s">
        <v>23</v>
      </c>
      <c r="B2">
        <f t="shared" ref="B2:B8" si="0">C2/D2</f>
        <v>6.0000000000000001E-3</v>
      </c>
      <c r="C2">
        <f>3*10^3</f>
        <v>3000</v>
      </c>
      <c r="D2">
        <f>5*10^5</f>
        <v>500000</v>
      </c>
      <c r="E2" t="s">
        <v>12</v>
      </c>
      <c r="F2" t="s">
        <v>26</v>
      </c>
    </row>
    <row r="3" spans="1:6" x14ac:dyDescent="0.4">
      <c r="A3" t="s">
        <v>23</v>
      </c>
      <c r="B3">
        <f t="shared" si="0"/>
        <v>5.0000000000000001E-3</v>
      </c>
      <c r="C3">
        <f>4*10^3</f>
        <v>4000</v>
      </c>
      <c r="D3">
        <f>8*10^5</f>
        <v>800000</v>
      </c>
      <c r="E3" t="s">
        <v>12</v>
      </c>
      <c r="F3" t="s">
        <v>26</v>
      </c>
    </row>
    <row r="4" spans="1:6" x14ac:dyDescent="0.4">
      <c r="A4" t="s">
        <v>23</v>
      </c>
      <c r="B4">
        <f t="shared" si="0"/>
        <v>1.8749999999999999E-3</v>
      </c>
      <c r="C4">
        <f>3*10^3</f>
        <v>3000</v>
      </c>
      <c r="D4">
        <f>16*10^5</f>
        <v>1600000</v>
      </c>
      <c r="E4" t="s">
        <v>12</v>
      </c>
      <c r="F4" t="s">
        <v>26</v>
      </c>
    </row>
    <row r="5" spans="1:6" x14ac:dyDescent="0.4">
      <c r="A5" t="s">
        <v>24</v>
      </c>
      <c r="B5">
        <f t="shared" si="0"/>
        <v>3.6666666666666666E-3</v>
      </c>
      <c r="C5">
        <f>11*10^3</f>
        <v>11000</v>
      </c>
      <c r="D5">
        <f>3*10^6</f>
        <v>3000000</v>
      </c>
      <c r="E5" t="s">
        <v>12</v>
      </c>
      <c r="F5" t="s">
        <v>26</v>
      </c>
    </row>
    <row r="6" spans="1:6" x14ac:dyDescent="0.4">
      <c r="A6" t="s">
        <v>24</v>
      </c>
      <c r="B6">
        <f t="shared" si="0"/>
        <v>1.9499999999999999E-3</v>
      </c>
      <c r="C6">
        <f>39*10^2</f>
        <v>3900</v>
      </c>
      <c r="D6">
        <f>2*10^6</f>
        <v>2000000</v>
      </c>
      <c r="E6" t="s">
        <v>12</v>
      </c>
      <c r="F6" t="s">
        <v>26</v>
      </c>
    </row>
    <row r="7" spans="1:6" x14ac:dyDescent="0.4">
      <c r="A7" t="s">
        <v>24</v>
      </c>
      <c r="B7">
        <f t="shared" si="0"/>
        <v>9.7999999999999997E-4</v>
      </c>
      <c r="C7">
        <f>4900</f>
        <v>4900</v>
      </c>
      <c r="D7">
        <f>5*10^6</f>
        <v>5000000</v>
      </c>
      <c r="E7" t="s">
        <v>12</v>
      </c>
      <c r="F7" t="s">
        <v>26</v>
      </c>
    </row>
    <row r="8" spans="1:6" x14ac:dyDescent="0.4">
      <c r="A8" t="s">
        <v>23</v>
      </c>
      <c r="B8">
        <f t="shared" si="0"/>
        <v>2.5000000000000001E-3</v>
      </c>
      <c r="C8">
        <f>5*10^4</f>
        <v>50000</v>
      </c>
      <c r="D8">
        <f>20*10^6</f>
        <v>20000000</v>
      </c>
      <c r="E8" t="s">
        <v>13</v>
      </c>
      <c r="F8" t="s">
        <v>26</v>
      </c>
    </row>
    <row r="9" spans="1:6" x14ac:dyDescent="0.4">
      <c r="A9" t="s">
        <v>23</v>
      </c>
      <c r="B9">
        <f t="shared" ref="B9:B13" si="1">C9/D9</f>
        <v>7.1428571428571426E-3</v>
      </c>
      <c r="C9">
        <f>10*10^4</f>
        <v>100000</v>
      </c>
      <c r="D9">
        <f>14*10^6</f>
        <v>14000000</v>
      </c>
      <c r="E9" t="s">
        <v>13</v>
      </c>
      <c r="F9" t="s">
        <v>26</v>
      </c>
    </row>
    <row r="10" spans="1:6" x14ac:dyDescent="0.4">
      <c r="A10" t="s">
        <v>23</v>
      </c>
      <c r="B10">
        <f t="shared" si="1"/>
        <v>4.4999999999999997E-3</v>
      </c>
      <c r="C10">
        <f>9*10^4</f>
        <v>90000</v>
      </c>
      <c r="D10">
        <f>20*10^6</f>
        <v>20000000</v>
      </c>
      <c r="E10" t="s">
        <v>13</v>
      </c>
      <c r="F10" t="s">
        <v>26</v>
      </c>
    </row>
    <row r="11" spans="1:6" x14ac:dyDescent="0.4">
      <c r="A11" t="s">
        <v>24</v>
      </c>
      <c r="B11">
        <f t="shared" si="1"/>
        <v>7.3333333333333332E-3</v>
      </c>
      <c r="C11">
        <f>11*10^4</f>
        <v>110000</v>
      </c>
      <c r="D11">
        <f>15*10^6</f>
        <v>15000000</v>
      </c>
      <c r="E11" t="s">
        <v>13</v>
      </c>
      <c r="F11" t="s">
        <v>26</v>
      </c>
    </row>
    <row r="12" spans="1:6" x14ac:dyDescent="0.4">
      <c r="A12" t="s">
        <v>24</v>
      </c>
      <c r="B12">
        <f t="shared" si="1"/>
        <v>2.8124999999999999E-3</v>
      </c>
      <c r="C12">
        <f>9*10^4</f>
        <v>90000</v>
      </c>
      <c r="D12">
        <f>32*10^6</f>
        <v>32000000</v>
      </c>
      <c r="E12" t="s">
        <v>13</v>
      </c>
      <c r="F12" t="s">
        <v>26</v>
      </c>
    </row>
    <row r="13" spans="1:6" x14ac:dyDescent="0.4">
      <c r="A13" t="s">
        <v>24</v>
      </c>
      <c r="B13">
        <f t="shared" si="1"/>
        <v>4.4000000000000003E-3</v>
      </c>
      <c r="C13">
        <f>11*10^4</f>
        <v>110000</v>
      </c>
      <c r="D13">
        <f>25*10^6</f>
        <v>25000000</v>
      </c>
      <c r="E13" t="s">
        <v>13</v>
      </c>
      <c r="F13" t="s">
        <v>26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181D-3A36-4372-91D1-8649935562B6}">
  <dimension ref="A1:E37"/>
  <sheetViews>
    <sheetView workbookViewId="0">
      <selection activeCell="H18" sqref="H18"/>
    </sheetView>
  </sheetViews>
  <sheetFormatPr defaultRowHeight="17.399999999999999" x14ac:dyDescent="0.4"/>
  <cols>
    <col min="1" max="1" width="13.19921875" bestFit="1" customWidth="1"/>
    <col min="2" max="2" width="10.3984375" bestFit="1" customWidth="1"/>
  </cols>
  <sheetData>
    <row r="1" spans="1:5" x14ac:dyDescent="0.4">
      <c r="A1" t="s">
        <v>0</v>
      </c>
      <c r="B1" t="s">
        <v>2</v>
      </c>
      <c r="C1" t="s">
        <v>1</v>
      </c>
      <c r="D1" t="s">
        <v>3</v>
      </c>
      <c r="E1" t="s">
        <v>5</v>
      </c>
    </row>
    <row r="2" spans="1:5" x14ac:dyDescent="0.4">
      <c r="A2" t="s">
        <v>9</v>
      </c>
      <c r="B2">
        <f>19*10^5</f>
        <v>1900000</v>
      </c>
      <c r="C2">
        <f>9*10^4</f>
        <v>90000</v>
      </c>
      <c r="D2">
        <f>C2/B2</f>
        <v>4.736842105263158E-2</v>
      </c>
      <c r="E2" t="s">
        <v>6</v>
      </c>
    </row>
    <row r="3" spans="1:5" x14ac:dyDescent="0.4">
      <c r="A3" t="s">
        <v>9</v>
      </c>
      <c r="B3">
        <f>30*10^5</f>
        <v>3000000</v>
      </c>
      <c r="C3">
        <f>3*10^4</f>
        <v>30000</v>
      </c>
      <c r="D3">
        <f t="shared" ref="D3:D19" si="0">C3/B3</f>
        <v>0.01</v>
      </c>
      <c r="E3" t="s">
        <v>6</v>
      </c>
    </row>
    <row r="4" spans="1:5" x14ac:dyDescent="0.4">
      <c r="A4" t="s">
        <v>9</v>
      </c>
      <c r="B4">
        <f>16*10^5</f>
        <v>1600000</v>
      </c>
      <c r="C4">
        <f>16*10^3</f>
        <v>16000</v>
      </c>
      <c r="D4">
        <f t="shared" si="0"/>
        <v>0.01</v>
      </c>
      <c r="E4" t="s">
        <v>6</v>
      </c>
    </row>
    <row r="5" spans="1:5" x14ac:dyDescent="0.4">
      <c r="A5" t="s">
        <v>9</v>
      </c>
      <c r="B5">
        <f>17*10^5</f>
        <v>1700000</v>
      </c>
      <c r="C5">
        <f>2*10^3</f>
        <v>2000</v>
      </c>
      <c r="D5">
        <f t="shared" si="0"/>
        <v>1.176470588235294E-3</v>
      </c>
      <c r="E5" t="s">
        <v>7</v>
      </c>
    </row>
    <row r="6" spans="1:5" x14ac:dyDescent="0.4">
      <c r="A6" t="s">
        <v>9</v>
      </c>
      <c r="B6">
        <f>3*10^6</f>
        <v>3000000</v>
      </c>
      <c r="C6">
        <f>4*10^3</f>
        <v>4000</v>
      </c>
      <c r="D6">
        <f t="shared" si="0"/>
        <v>1.3333333333333333E-3</v>
      </c>
      <c r="E6" t="s">
        <v>7</v>
      </c>
    </row>
    <row r="7" spans="1:5" x14ac:dyDescent="0.4">
      <c r="A7" t="s">
        <v>9</v>
      </c>
      <c r="B7">
        <f>11*10^5</f>
        <v>1100000</v>
      </c>
      <c r="C7">
        <f>5*10^3</f>
        <v>5000</v>
      </c>
      <c r="D7">
        <f t="shared" si="0"/>
        <v>4.5454545454545452E-3</v>
      </c>
      <c r="E7" t="s">
        <v>7</v>
      </c>
    </row>
    <row r="8" spans="1:5" x14ac:dyDescent="0.4">
      <c r="A8" t="s">
        <v>9</v>
      </c>
      <c r="B8">
        <f>5*10^6</f>
        <v>5000000</v>
      </c>
      <c r="C8">
        <f>9*10^3</f>
        <v>9000</v>
      </c>
      <c r="D8">
        <f t="shared" si="0"/>
        <v>1.8E-3</v>
      </c>
      <c r="E8" t="s">
        <v>8</v>
      </c>
    </row>
    <row r="9" spans="1:5" x14ac:dyDescent="0.4">
      <c r="A9" t="s">
        <v>9</v>
      </c>
      <c r="B9">
        <f>4*10^6</f>
        <v>4000000</v>
      </c>
      <c r="C9">
        <f>6*10^3</f>
        <v>6000</v>
      </c>
      <c r="D9">
        <f t="shared" si="0"/>
        <v>1.5E-3</v>
      </c>
      <c r="E9" t="s">
        <v>8</v>
      </c>
    </row>
    <row r="10" spans="1:5" x14ac:dyDescent="0.4">
      <c r="A10" t="s">
        <v>9</v>
      </c>
      <c r="B10">
        <f>2*10^6</f>
        <v>2000000</v>
      </c>
      <c r="C10">
        <f>4*10^3</f>
        <v>4000</v>
      </c>
      <c r="D10">
        <f t="shared" si="0"/>
        <v>2E-3</v>
      </c>
      <c r="E10" t="s">
        <v>8</v>
      </c>
    </row>
    <row r="11" spans="1:5" x14ac:dyDescent="0.4">
      <c r="A11" t="s">
        <v>10</v>
      </c>
      <c r="B11">
        <f>26*10^6</f>
        <v>26000000</v>
      </c>
      <c r="C11">
        <f>7*10^5</f>
        <v>700000</v>
      </c>
      <c r="D11">
        <f t="shared" si="0"/>
        <v>2.6923076923076925E-2</v>
      </c>
      <c r="E11" t="s">
        <v>6</v>
      </c>
    </row>
    <row r="12" spans="1:5" x14ac:dyDescent="0.4">
      <c r="A12" t="s">
        <v>10</v>
      </c>
      <c r="B12">
        <f>4*10^7</f>
        <v>40000000</v>
      </c>
      <c r="C12">
        <f>5*10^5</f>
        <v>500000</v>
      </c>
      <c r="D12">
        <f t="shared" si="0"/>
        <v>1.2500000000000001E-2</v>
      </c>
      <c r="E12" t="s">
        <v>6</v>
      </c>
    </row>
    <row r="13" spans="1:5" x14ac:dyDescent="0.4">
      <c r="A13" t="s">
        <v>10</v>
      </c>
      <c r="B13">
        <f>3*10^7</f>
        <v>30000000</v>
      </c>
      <c r="C13">
        <f>10*10^5</f>
        <v>1000000</v>
      </c>
      <c r="D13">
        <f t="shared" si="0"/>
        <v>3.3333333333333333E-2</v>
      </c>
      <c r="E13" t="s">
        <v>6</v>
      </c>
    </row>
    <row r="14" spans="1:5" x14ac:dyDescent="0.4">
      <c r="A14" t="s">
        <v>10</v>
      </c>
      <c r="B14">
        <f>3*10^7</f>
        <v>30000000</v>
      </c>
      <c r="C14">
        <f>4*10^4</f>
        <v>40000</v>
      </c>
      <c r="D14">
        <f t="shared" si="0"/>
        <v>1.3333333333333333E-3</v>
      </c>
      <c r="E14" t="s">
        <v>7</v>
      </c>
    </row>
    <row r="15" spans="1:5" x14ac:dyDescent="0.4">
      <c r="A15" t="s">
        <v>10</v>
      </c>
      <c r="B15">
        <f>13*10^6</f>
        <v>13000000</v>
      </c>
      <c r="C15">
        <f>5*10^4</f>
        <v>50000</v>
      </c>
      <c r="D15">
        <f t="shared" si="0"/>
        <v>3.8461538461538464E-3</v>
      </c>
      <c r="E15" t="s">
        <v>7</v>
      </c>
    </row>
    <row r="16" spans="1:5" x14ac:dyDescent="0.4">
      <c r="A16" t="s">
        <v>10</v>
      </c>
      <c r="B16">
        <f>17*10^6</f>
        <v>17000000</v>
      </c>
      <c r="C16">
        <f>4*10^4</f>
        <v>40000</v>
      </c>
      <c r="D16">
        <f t="shared" si="0"/>
        <v>2.352941176470588E-3</v>
      </c>
      <c r="E16" t="s">
        <v>7</v>
      </c>
    </row>
    <row r="17" spans="1:5" x14ac:dyDescent="0.4">
      <c r="A17" t="s">
        <v>10</v>
      </c>
      <c r="B17">
        <f>36*10^7</f>
        <v>360000000</v>
      </c>
      <c r="C17">
        <f>7*10^4</f>
        <v>70000</v>
      </c>
      <c r="D17">
        <f t="shared" si="0"/>
        <v>1.9444444444444443E-4</v>
      </c>
      <c r="E17" t="s">
        <v>8</v>
      </c>
    </row>
    <row r="18" spans="1:5" x14ac:dyDescent="0.4">
      <c r="A18" t="s">
        <v>10</v>
      </c>
      <c r="B18">
        <f>3*10^7</f>
        <v>30000000</v>
      </c>
      <c r="C18">
        <f>4*10^4</f>
        <v>40000</v>
      </c>
      <c r="D18">
        <f t="shared" si="0"/>
        <v>1.3333333333333333E-3</v>
      </c>
      <c r="E18" t="s">
        <v>8</v>
      </c>
    </row>
    <row r="19" spans="1:5" x14ac:dyDescent="0.4">
      <c r="A19" t="s">
        <v>10</v>
      </c>
      <c r="B19">
        <f>8*10^7</f>
        <v>80000000</v>
      </c>
      <c r="C19">
        <f>8*10^4</f>
        <v>80000</v>
      </c>
      <c r="D19">
        <f t="shared" si="0"/>
        <v>1E-3</v>
      </c>
      <c r="E19" t="s">
        <v>8</v>
      </c>
    </row>
    <row r="20" spans="1:5" x14ac:dyDescent="0.4">
      <c r="A20" t="s">
        <v>14</v>
      </c>
      <c r="B20">
        <f>6*10^6</f>
        <v>6000000</v>
      </c>
      <c r="C20">
        <f>7*10^3</f>
        <v>7000</v>
      </c>
      <c r="D20">
        <f>C20/B20</f>
        <v>1.1666666666666668E-3</v>
      </c>
      <c r="E20" t="s">
        <v>6</v>
      </c>
    </row>
    <row r="21" spans="1:5" x14ac:dyDescent="0.4">
      <c r="A21" t="s">
        <v>14</v>
      </c>
      <c r="B21">
        <f>3*10^6</f>
        <v>3000000</v>
      </c>
      <c r="C21">
        <f>5*10^3</f>
        <v>5000</v>
      </c>
      <c r="D21">
        <f t="shared" ref="D21:D37" si="1">C21/B21</f>
        <v>1.6666666666666668E-3</v>
      </c>
      <c r="E21" t="s">
        <v>6</v>
      </c>
    </row>
    <row r="22" spans="1:5" x14ac:dyDescent="0.4">
      <c r="A22" t="s">
        <v>14</v>
      </c>
      <c r="B22">
        <f>5*10^6</f>
        <v>5000000</v>
      </c>
      <c r="C22">
        <f>3*10^3</f>
        <v>3000</v>
      </c>
      <c r="D22">
        <f t="shared" si="1"/>
        <v>5.9999999999999995E-4</v>
      </c>
      <c r="E22" t="s">
        <v>6</v>
      </c>
    </row>
    <row r="23" spans="1:5" x14ac:dyDescent="0.4">
      <c r="A23" t="s">
        <v>14</v>
      </c>
      <c r="B23">
        <f>3*10^6</f>
        <v>3000000</v>
      </c>
      <c r="C23">
        <f>9*10^3</f>
        <v>9000</v>
      </c>
      <c r="D23">
        <f t="shared" si="1"/>
        <v>3.0000000000000001E-3</v>
      </c>
      <c r="E23" t="s">
        <v>7</v>
      </c>
    </row>
    <row r="24" spans="1:5" x14ac:dyDescent="0.4">
      <c r="A24" t="s">
        <v>14</v>
      </c>
      <c r="B24">
        <f>4*10^6</f>
        <v>4000000</v>
      </c>
      <c r="C24">
        <f>3*10^3</f>
        <v>3000</v>
      </c>
      <c r="D24">
        <f t="shared" si="1"/>
        <v>7.5000000000000002E-4</v>
      </c>
      <c r="E24" t="s">
        <v>7</v>
      </c>
    </row>
    <row r="25" spans="1:5" x14ac:dyDescent="0.4">
      <c r="A25" t="s">
        <v>14</v>
      </c>
      <c r="B25">
        <f>3*10^6</f>
        <v>3000000</v>
      </c>
      <c r="C25">
        <f>8*10^3</f>
        <v>8000</v>
      </c>
      <c r="D25">
        <f t="shared" si="1"/>
        <v>2.6666666666666666E-3</v>
      </c>
      <c r="E25" t="s">
        <v>7</v>
      </c>
    </row>
    <row r="26" spans="1:5" x14ac:dyDescent="0.4">
      <c r="A26" t="s">
        <v>14</v>
      </c>
      <c r="B26">
        <f>3*10^6</f>
        <v>3000000</v>
      </c>
      <c r="C26">
        <f>3*10^3</f>
        <v>3000</v>
      </c>
      <c r="D26">
        <f t="shared" si="1"/>
        <v>1E-3</v>
      </c>
      <c r="E26" t="s">
        <v>8</v>
      </c>
    </row>
    <row r="27" spans="1:5" x14ac:dyDescent="0.4">
      <c r="A27" t="s">
        <v>14</v>
      </c>
      <c r="B27">
        <f>4*10^6</f>
        <v>4000000</v>
      </c>
      <c r="C27">
        <f>2*10^3</f>
        <v>2000</v>
      </c>
      <c r="D27">
        <f t="shared" si="1"/>
        <v>5.0000000000000001E-4</v>
      </c>
      <c r="E27" t="s">
        <v>8</v>
      </c>
    </row>
    <row r="28" spans="1:5" x14ac:dyDescent="0.4">
      <c r="A28" t="s">
        <v>14</v>
      </c>
      <c r="B28">
        <f>3*10^6</f>
        <v>3000000</v>
      </c>
      <c r="C28">
        <f>2*10^3</f>
        <v>2000</v>
      </c>
      <c r="D28">
        <f t="shared" si="1"/>
        <v>6.6666666666666664E-4</v>
      </c>
      <c r="E28" t="s">
        <v>8</v>
      </c>
    </row>
    <row r="29" spans="1:5" x14ac:dyDescent="0.4">
      <c r="A29" t="s">
        <v>15</v>
      </c>
      <c r="B29">
        <f>38*10^6</f>
        <v>38000000</v>
      </c>
      <c r="C29">
        <f>10^4</f>
        <v>10000</v>
      </c>
      <c r="D29">
        <f t="shared" si="1"/>
        <v>2.631578947368421E-4</v>
      </c>
      <c r="E29" t="s">
        <v>6</v>
      </c>
    </row>
    <row r="30" spans="1:5" x14ac:dyDescent="0.4">
      <c r="A30" t="s">
        <v>15</v>
      </c>
      <c r="B30">
        <f>5*10^7</f>
        <v>50000000</v>
      </c>
      <c r="C30">
        <f>3*10^4</f>
        <v>30000</v>
      </c>
      <c r="D30">
        <f t="shared" si="1"/>
        <v>5.9999999999999995E-4</v>
      </c>
      <c r="E30" t="s">
        <v>6</v>
      </c>
    </row>
    <row r="31" spans="1:5" x14ac:dyDescent="0.4">
      <c r="A31" t="s">
        <v>15</v>
      </c>
      <c r="B31">
        <f>4*10^7</f>
        <v>40000000</v>
      </c>
      <c r="C31">
        <f>6*10^4</f>
        <v>60000</v>
      </c>
      <c r="D31">
        <f t="shared" si="1"/>
        <v>1.5E-3</v>
      </c>
      <c r="E31" t="s">
        <v>6</v>
      </c>
    </row>
    <row r="32" spans="1:5" x14ac:dyDescent="0.4">
      <c r="A32" t="s">
        <v>15</v>
      </c>
      <c r="B32">
        <f>5*10^7</f>
        <v>50000000</v>
      </c>
      <c r="C32">
        <f>8*10^4</f>
        <v>80000</v>
      </c>
      <c r="D32">
        <f t="shared" si="1"/>
        <v>1.6000000000000001E-3</v>
      </c>
      <c r="E32" t="s">
        <v>7</v>
      </c>
    </row>
    <row r="33" spans="1:5" x14ac:dyDescent="0.4">
      <c r="A33" t="s">
        <v>15</v>
      </c>
      <c r="B33">
        <f>8*10^7</f>
        <v>80000000</v>
      </c>
      <c r="C33">
        <f>6*10^4</f>
        <v>60000</v>
      </c>
      <c r="D33">
        <f t="shared" si="1"/>
        <v>7.5000000000000002E-4</v>
      </c>
      <c r="E33" t="s">
        <v>7</v>
      </c>
    </row>
    <row r="34" spans="1:5" x14ac:dyDescent="0.4">
      <c r="A34" t="s">
        <v>15</v>
      </c>
      <c r="B34">
        <f>49*10^6</f>
        <v>49000000</v>
      </c>
      <c r="C34">
        <f>9*10^4</f>
        <v>90000</v>
      </c>
      <c r="D34">
        <f t="shared" si="1"/>
        <v>1.8367346938775509E-3</v>
      </c>
      <c r="E34" t="s">
        <v>7</v>
      </c>
    </row>
    <row r="35" spans="1:5" x14ac:dyDescent="0.4">
      <c r="A35" t="s">
        <v>15</v>
      </c>
      <c r="B35">
        <f>10*10^7</f>
        <v>100000000</v>
      </c>
      <c r="C35">
        <f>3*10^4</f>
        <v>30000</v>
      </c>
      <c r="D35">
        <f t="shared" si="1"/>
        <v>2.9999999999999997E-4</v>
      </c>
      <c r="E35" t="s">
        <v>8</v>
      </c>
    </row>
    <row r="36" spans="1:5" x14ac:dyDescent="0.4">
      <c r="A36" t="s">
        <v>15</v>
      </c>
      <c r="B36">
        <f>3*10^7</f>
        <v>30000000</v>
      </c>
      <c r="C36">
        <f>8*10^4</f>
        <v>80000</v>
      </c>
      <c r="D36">
        <f t="shared" si="1"/>
        <v>2.6666666666666666E-3</v>
      </c>
      <c r="E36" t="s">
        <v>8</v>
      </c>
    </row>
    <row r="37" spans="1:5" x14ac:dyDescent="0.4">
      <c r="A37" t="s">
        <v>15</v>
      </c>
      <c r="B37">
        <f>8*10^7</f>
        <v>80000000</v>
      </c>
      <c r="C37">
        <f>8*10^4</f>
        <v>80000</v>
      </c>
      <c r="D37">
        <f t="shared" si="1"/>
        <v>1E-3</v>
      </c>
      <c r="E3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1stpanel</vt:lpstr>
      <vt:lpstr>2ndpanel</vt:lpstr>
      <vt:lpstr>3rdpanel</vt:lpstr>
      <vt:lpstr>1stpanel_counting</vt:lpstr>
      <vt:lpstr>2ndpanel_counting</vt:lpstr>
      <vt:lpstr>3rdpanel_counting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2022-10-26T04:23:47Z</dcterms:created>
  <dcterms:modified xsi:type="dcterms:W3CDTF">2025-08-26T08:42:46Z</dcterms:modified>
</cp:coreProperties>
</file>