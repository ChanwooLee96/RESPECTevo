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6c92d0988cb4a1/python/RESPECTevo-Code_Rawdata/2_Plotting_Statistics/3_Suppressor_frequency/rawdata_zip/"/>
    </mc:Choice>
  </mc:AlternateContent>
  <xr:revisionPtr revIDLastSave="2320" documentId="8_{549ECEC6-160E-4653-A2A8-011F54EC70A7}" xr6:coauthVersionLast="47" xr6:coauthVersionMax="47" xr10:uidLastSave="{4870ABEF-D5A2-449A-AB78-CCFE49F88386}"/>
  <bookViews>
    <workbookView xWindow="36960" yWindow="960" windowWidth="21600" windowHeight="11235" firstSheet="2" activeTab="2" xr2:uid="{C745A869-6D68-4B8E-8E2E-0DF65F7D14EC}"/>
  </bookViews>
  <sheets>
    <sheet name="Suppression summary_PCPA" sheetId="4" r:id="rId1"/>
    <sheet name="PCPA_cycle0" sheetId="15" r:id="rId2"/>
    <sheet name="PCPA_cycle4" sheetId="13" r:id="rId3"/>
    <sheet name="Suppression summary_Rif" sheetId="14" r:id="rId4"/>
    <sheet name="Rifampicin_cycle4" sheetId="12" r:id="rId5"/>
    <sheet name="Rifampicin_cycle0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6" l="1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B25" i="16"/>
  <c r="B24" i="16"/>
  <c r="B23" i="16"/>
  <c r="B22" i="16"/>
  <c r="B21" i="16"/>
  <c r="B20" i="16"/>
  <c r="B15" i="16"/>
  <c r="B19" i="16"/>
  <c r="B18" i="16"/>
  <c r="B17" i="16"/>
  <c r="B16" i="16"/>
  <c r="B14" i="16"/>
  <c r="B13" i="16"/>
  <c r="B12" i="16"/>
  <c r="B11" i="16"/>
  <c r="B10" i="16"/>
  <c r="B9" i="16"/>
  <c r="B8" i="16"/>
  <c r="B7" i="16"/>
  <c r="B6" i="16"/>
  <c r="B5" i="16"/>
  <c r="B4" i="16"/>
  <c r="B3" i="16"/>
  <c r="B2" i="16"/>
  <c r="D2" i="16"/>
  <c r="C25" i="15"/>
  <c r="C24" i="15"/>
  <c r="C23" i="15"/>
  <c r="D23" i="15" s="1"/>
  <c r="C22" i="15"/>
  <c r="D22" i="15" s="1"/>
  <c r="C21" i="15"/>
  <c r="C20" i="15"/>
  <c r="C19" i="15"/>
  <c r="C18" i="15"/>
  <c r="D18" i="15" s="1"/>
  <c r="C17" i="15"/>
  <c r="C16" i="15"/>
  <c r="C15" i="15"/>
  <c r="D15" i="15" s="1"/>
  <c r="C14" i="15"/>
  <c r="C13" i="15"/>
  <c r="C12" i="15"/>
  <c r="C11" i="15"/>
  <c r="C10" i="15"/>
  <c r="C9" i="15"/>
  <c r="D9" i="15" s="1"/>
  <c r="C8" i="15"/>
  <c r="C7" i="15"/>
  <c r="C6" i="15"/>
  <c r="C5" i="15"/>
  <c r="C4" i="15"/>
  <c r="D4" i="15" s="1"/>
  <c r="C3" i="15"/>
  <c r="C2" i="15"/>
  <c r="D13" i="15"/>
  <c r="D12" i="15"/>
  <c r="D10" i="15"/>
  <c r="D8" i="15"/>
  <c r="D7" i="15"/>
  <c r="B25" i="15"/>
  <c r="B24" i="15"/>
  <c r="B23" i="15"/>
  <c r="B22" i="15"/>
  <c r="B21" i="15"/>
  <c r="D21" i="15" s="1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D6" i="15" s="1"/>
  <c r="B5" i="15"/>
  <c r="B4" i="15"/>
  <c r="B3" i="15"/>
  <c r="B2" i="15"/>
  <c r="D25" i="15"/>
  <c r="D24" i="15"/>
  <c r="D20" i="15"/>
  <c r="D19" i="15"/>
  <c r="D17" i="15"/>
  <c r="D16" i="15"/>
  <c r="D14" i="15"/>
  <c r="D11" i="15"/>
  <c r="D5" i="15"/>
  <c r="D2" i="15"/>
  <c r="B25" i="12"/>
  <c r="D25" i="12" s="1"/>
  <c r="B24" i="12"/>
  <c r="B23" i="12"/>
  <c r="D23" i="12" s="1"/>
  <c r="C25" i="13"/>
  <c r="D25" i="13" s="1"/>
  <c r="C24" i="13"/>
  <c r="D24" i="13" s="1"/>
  <c r="C23" i="13"/>
  <c r="B25" i="13"/>
  <c r="B24" i="13"/>
  <c r="B23" i="13"/>
  <c r="D24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6" i="12"/>
  <c r="B10" i="12"/>
  <c r="B9" i="12"/>
  <c r="B8" i="12"/>
  <c r="B7" i="12"/>
  <c r="B5" i="12"/>
  <c r="B4" i="12"/>
  <c r="B3" i="12"/>
  <c r="B2" i="12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B22" i="13"/>
  <c r="B20" i="13"/>
  <c r="B21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2" i="13"/>
  <c r="D3" i="15" l="1"/>
  <c r="D23" i="13"/>
</calcChain>
</file>

<file path=xl/sharedStrings.xml><?xml version="1.0" encoding="utf-8"?>
<sst xmlns="http://schemas.openxmlformats.org/spreadsheetml/2006/main" count="410" uniqueCount="28">
  <si>
    <t>YEG</t>
    <phoneticPr fontId="1" type="noConversion"/>
  </si>
  <si>
    <t>Suppression rate</t>
    <phoneticPr fontId="1" type="noConversion"/>
  </si>
  <si>
    <t>Spacer</t>
    <phoneticPr fontId="1" type="noConversion"/>
  </si>
  <si>
    <t>Cycle</t>
    <phoneticPr fontId="1" type="noConversion"/>
  </si>
  <si>
    <t>Spacer</t>
  </si>
  <si>
    <t>Cycle4</t>
    <phoneticPr fontId="1" type="noConversion"/>
  </si>
  <si>
    <t>Cycle4</t>
  </si>
  <si>
    <t>pheS 105</t>
    <phoneticPr fontId="1" type="noConversion"/>
  </si>
  <si>
    <t>LacZ B1</t>
    <phoneticPr fontId="1" type="noConversion"/>
  </si>
  <si>
    <t>LacZ B3</t>
    <phoneticPr fontId="1" type="noConversion"/>
  </si>
  <si>
    <t>LacZ T1</t>
    <phoneticPr fontId="1" type="noConversion"/>
  </si>
  <si>
    <t>RpoB 1</t>
    <phoneticPr fontId="1" type="noConversion"/>
  </si>
  <si>
    <t>RpoB 2</t>
    <phoneticPr fontId="1" type="noConversion"/>
  </si>
  <si>
    <t>Empty</t>
    <phoneticPr fontId="1" type="noConversion"/>
  </si>
  <si>
    <t>LB</t>
    <phoneticPr fontId="1" type="noConversion"/>
  </si>
  <si>
    <t>Rifampicin</t>
    <phoneticPr fontId="1" type="noConversion"/>
  </si>
  <si>
    <t>PCPA</t>
    <phoneticPr fontId="1" type="noConversion"/>
  </si>
  <si>
    <t>LacZ B2</t>
    <phoneticPr fontId="1" type="noConversion"/>
  </si>
  <si>
    <t>Cycle0</t>
    <phoneticPr fontId="1" type="noConversion"/>
  </si>
  <si>
    <t>Suppression_rate</t>
    <phoneticPr fontId="1" type="noConversion"/>
  </si>
  <si>
    <t>pheS 105</t>
  </si>
  <si>
    <t>Cycle0</t>
  </si>
  <si>
    <t>LacZ B1</t>
  </si>
  <si>
    <t>LacZ B3</t>
  </si>
  <si>
    <t>LacZ T1</t>
  </si>
  <si>
    <t>RpoB 1</t>
  </si>
  <si>
    <t>RpoB 2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</si>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</sst>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D41E7-CBBC-4F23-A933-E26A12F80D87}">
  <dimension ref="A1:C49"/>
  <sheetViews>
    <sheetView topLeftCell="A19" workbookViewId="0">
      <selection activeCell="A32" sqref="A32:A34"/>
    </sheetView>
  </sheetViews>
  <sheetFormatPr defaultRowHeight="17.399999999999999" x14ac:dyDescent="0.4"/>
  <cols>
    <col min="1" max="1" width="12.69921875" bestFit="1" customWidth="1"/>
    <col min="2" max="2" width="15.3984375" bestFit="1" customWidth="1"/>
  </cols>
  <sheetData>
    <row r="1" spans="1:3" x14ac:dyDescent="0.4">
      <c r="A1" t="s">
        <v>4</v>
      </c>
      <c r="B1" t="s">
        <v>19</v>
      </c>
      <c r="C1" t="s">
        <v>3</v>
      </c>
    </row>
    <row r="2" spans="1:3" x14ac:dyDescent="0.4">
      <c r="A2" t="s">
        <v>7</v>
      </c>
      <c r="B2">
        <v>0.155</v>
      </c>
      <c r="C2" t="s">
        <v>6</v>
      </c>
    </row>
    <row r="3" spans="1:3" x14ac:dyDescent="0.4">
      <c r="A3" t="s">
        <v>7</v>
      </c>
      <c r="B3">
        <v>8.8888888888888892E-2</v>
      </c>
      <c r="C3" t="s">
        <v>6</v>
      </c>
    </row>
    <row r="4" spans="1:3" x14ac:dyDescent="0.4">
      <c r="A4" t="s">
        <v>7</v>
      </c>
      <c r="B4">
        <v>0.20499999999999999</v>
      </c>
      <c r="C4" t="s">
        <v>6</v>
      </c>
    </row>
    <row r="5" spans="1:3" x14ac:dyDescent="0.4">
      <c r="A5" t="s">
        <v>8</v>
      </c>
      <c r="B5">
        <v>3.5000000000000001E-3</v>
      </c>
      <c r="C5" t="s">
        <v>6</v>
      </c>
    </row>
    <row r="6" spans="1:3" x14ac:dyDescent="0.4">
      <c r="A6" t="s">
        <v>8</v>
      </c>
      <c r="B6">
        <v>1.8E-3</v>
      </c>
      <c r="C6" t="s">
        <v>6</v>
      </c>
    </row>
    <row r="7" spans="1:3" x14ac:dyDescent="0.4">
      <c r="A7" t="s">
        <v>8</v>
      </c>
      <c r="B7">
        <v>1.1000000000000001E-3</v>
      </c>
      <c r="C7" t="s">
        <v>6</v>
      </c>
    </row>
    <row r="8" spans="1:3" x14ac:dyDescent="0.4">
      <c r="A8" t="s">
        <v>17</v>
      </c>
      <c r="B8">
        <v>3.0000000000000001E-3</v>
      </c>
      <c r="C8" t="s">
        <v>6</v>
      </c>
    </row>
    <row r="9" spans="1:3" x14ac:dyDescent="0.4">
      <c r="A9" t="s">
        <v>17</v>
      </c>
      <c r="B9">
        <v>8.0000000000000007E-5</v>
      </c>
      <c r="C9" t="s">
        <v>6</v>
      </c>
    </row>
    <row r="10" spans="1:3" x14ac:dyDescent="0.4">
      <c r="A10" t="s">
        <v>17</v>
      </c>
      <c r="B10">
        <v>4.3333333333333331E-4</v>
      </c>
      <c r="C10" t="s">
        <v>6</v>
      </c>
    </row>
    <row r="11" spans="1:3" x14ac:dyDescent="0.4">
      <c r="A11" t="s">
        <v>9</v>
      </c>
      <c r="B11">
        <v>6.9999999999999999E-4</v>
      </c>
      <c r="C11" t="s">
        <v>6</v>
      </c>
    </row>
    <row r="12" spans="1:3" x14ac:dyDescent="0.4">
      <c r="A12" t="s">
        <v>9</v>
      </c>
      <c r="B12">
        <v>6.6666666666666664E-4</v>
      </c>
      <c r="C12" t="s">
        <v>6</v>
      </c>
    </row>
    <row r="13" spans="1:3" x14ac:dyDescent="0.4">
      <c r="A13" t="s">
        <v>9</v>
      </c>
      <c r="B13">
        <v>1.3333333333333333E-3</v>
      </c>
      <c r="C13" t="s">
        <v>6</v>
      </c>
    </row>
    <row r="14" spans="1:3" x14ac:dyDescent="0.4">
      <c r="A14" t="s">
        <v>10</v>
      </c>
      <c r="B14">
        <v>6.6666666666666664E-4</v>
      </c>
      <c r="C14" t="s">
        <v>6</v>
      </c>
    </row>
    <row r="15" spans="1:3" x14ac:dyDescent="0.4">
      <c r="A15" t="s">
        <v>10</v>
      </c>
      <c r="B15">
        <v>1E-3</v>
      </c>
      <c r="C15" t="s">
        <v>6</v>
      </c>
    </row>
    <row r="16" spans="1:3" x14ac:dyDescent="0.4">
      <c r="A16" t="s">
        <v>10</v>
      </c>
      <c r="B16">
        <v>1.5E-3</v>
      </c>
      <c r="C16" t="s">
        <v>6</v>
      </c>
    </row>
    <row r="17" spans="1:3" x14ac:dyDescent="0.4">
      <c r="A17" t="s">
        <v>11</v>
      </c>
      <c r="B17">
        <v>6.9999999999999999E-4</v>
      </c>
      <c r="C17" t="s">
        <v>6</v>
      </c>
    </row>
    <row r="18" spans="1:3" x14ac:dyDescent="0.4">
      <c r="A18" t="s">
        <v>11</v>
      </c>
      <c r="B18">
        <v>1.8E-3</v>
      </c>
      <c r="C18" t="s">
        <v>6</v>
      </c>
    </row>
    <row r="19" spans="1:3" x14ac:dyDescent="0.4">
      <c r="A19" t="s">
        <v>11</v>
      </c>
      <c r="B19">
        <v>5.0000000000000001E-4</v>
      </c>
      <c r="C19" t="s">
        <v>6</v>
      </c>
    </row>
    <row r="20" spans="1:3" x14ac:dyDescent="0.4">
      <c r="A20" t="s">
        <v>12</v>
      </c>
      <c r="B20">
        <v>4.6666666666666666E-4</v>
      </c>
      <c r="C20" t="s">
        <v>6</v>
      </c>
    </row>
    <row r="21" spans="1:3" x14ac:dyDescent="0.4">
      <c r="A21" t="s">
        <v>12</v>
      </c>
      <c r="B21">
        <v>1.6000000000000001E-3</v>
      </c>
      <c r="C21" t="s">
        <v>6</v>
      </c>
    </row>
    <row r="22" spans="1:3" x14ac:dyDescent="0.4">
      <c r="A22" t="s">
        <v>12</v>
      </c>
      <c r="B22">
        <v>2.1428571428571427E-4</v>
      </c>
      <c r="C22" t="s">
        <v>6</v>
      </c>
    </row>
    <row r="23" spans="1:3" x14ac:dyDescent="0.4">
      <c r="A23" t="s">
        <v>13</v>
      </c>
      <c r="B23">
        <v>1E-3</v>
      </c>
      <c r="C23" t="s">
        <v>6</v>
      </c>
    </row>
    <row r="24" spans="1:3" x14ac:dyDescent="0.4">
      <c r="A24" t="s">
        <v>13</v>
      </c>
      <c r="B24">
        <v>3.7500000000000001E-4</v>
      </c>
      <c r="C24" t="s">
        <v>6</v>
      </c>
    </row>
    <row r="25" spans="1:3" x14ac:dyDescent="0.4">
      <c r="A25" t="s">
        <v>13</v>
      </c>
      <c r="B25">
        <v>2.2222222222222223E-4</v>
      </c>
      <c r="C25" t="s">
        <v>6</v>
      </c>
    </row>
    <row r="26" spans="1:3" x14ac:dyDescent="0.4">
      <c r="A26" t="s">
        <v>7</v>
      </c>
      <c r="B26">
        <v>4.0000000000000003E-5</v>
      </c>
      <c r="C26" t="s">
        <v>21</v>
      </c>
    </row>
    <row r="27" spans="1:3" x14ac:dyDescent="0.4">
      <c r="A27" t="s">
        <v>7</v>
      </c>
      <c r="B27">
        <v>7.1428571428571434E-5</v>
      </c>
      <c r="C27" t="s">
        <v>21</v>
      </c>
    </row>
    <row r="28" spans="1:3" x14ac:dyDescent="0.4">
      <c r="A28" t="s">
        <v>7</v>
      </c>
      <c r="B28">
        <v>3.3333333333333335E-5</v>
      </c>
      <c r="C28" t="s">
        <v>21</v>
      </c>
    </row>
    <row r="29" spans="1:3" x14ac:dyDescent="0.4">
      <c r="A29" t="s">
        <v>8</v>
      </c>
      <c r="B29">
        <v>1.2E-4</v>
      </c>
      <c r="C29" t="s">
        <v>21</v>
      </c>
    </row>
    <row r="30" spans="1:3" x14ac:dyDescent="0.4">
      <c r="A30" t="s">
        <v>8</v>
      </c>
      <c r="B30">
        <v>2.2727272727272726E-5</v>
      </c>
      <c r="C30" t="s">
        <v>21</v>
      </c>
    </row>
    <row r="31" spans="1:3" x14ac:dyDescent="0.4">
      <c r="A31" t="s">
        <v>8</v>
      </c>
      <c r="B31">
        <v>7.2727272727272728E-5</v>
      </c>
      <c r="C31" t="s">
        <v>21</v>
      </c>
    </row>
    <row r="32" spans="1:3" x14ac:dyDescent="0.4">
      <c r="A32" t="s">
        <v>17</v>
      </c>
      <c r="B32">
        <v>2.5000000000000001E-5</v>
      </c>
      <c r="C32" t="s">
        <v>21</v>
      </c>
    </row>
    <row r="33" spans="1:3" x14ac:dyDescent="0.4">
      <c r="A33" t="s">
        <v>17</v>
      </c>
      <c r="B33">
        <v>2.1428571428571428E-5</v>
      </c>
      <c r="C33" t="s">
        <v>21</v>
      </c>
    </row>
    <row r="34" spans="1:3" x14ac:dyDescent="0.4">
      <c r="A34" t="s">
        <v>17</v>
      </c>
      <c r="B34">
        <v>2.5000000000000001E-5</v>
      </c>
      <c r="C34" t="s">
        <v>21</v>
      </c>
    </row>
    <row r="35" spans="1:3" x14ac:dyDescent="0.4">
      <c r="A35" t="s">
        <v>9</v>
      </c>
      <c r="B35">
        <v>5.5000000000000002E-5</v>
      </c>
      <c r="C35" t="s">
        <v>21</v>
      </c>
    </row>
    <row r="36" spans="1:3" x14ac:dyDescent="0.4">
      <c r="A36" t="s">
        <v>9</v>
      </c>
      <c r="B36">
        <v>4.2857142857142856E-5</v>
      </c>
      <c r="C36" t="s">
        <v>21</v>
      </c>
    </row>
    <row r="37" spans="1:3" x14ac:dyDescent="0.4">
      <c r="A37" t="s">
        <v>9</v>
      </c>
      <c r="B37">
        <v>3.7499999999999997E-5</v>
      </c>
      <c r="C37" t="s">
        <v>21</v>
      </c>
    </row>
    <row r="38" spans="1:3" x14ac:dyDescent="0.4">
      <c r="A38" t="s">
        <v>10</v>
      </c>
      <c r="B38">
        <v>5.0000000000000002E-5</v>
      </c>
      <c r="C38" t="s">
        <v>21</v>
      </c>
    </row>
    <row r="39" spans="1:3" x14ac:dyDescent="0.4">
      <c r="A39" t="s">
        <v>10</v>
      </c>
      <c r="B39">
        <v>8.5714285714285713E-5</v>
      </c>
      <c r="C39" t="s">
        <v>21</v>
      </c>
    </row>
    <row r="40" spans="1:3" x14ac:dyDescent="0.4">
      <c r="A40" t="s">
        <v>10</v>
      </c>
      <c r="B40">
        <v>5.0000000000000002E-5</v>
      </c>
      <c r="C40" t="s">
        <v>21</v>
      </c>
    </row>
    <row r="41" spans="1:3" x14ac:dyDescent="0.4">
      <c r="A41" t="s">
        <v>11</v>
      </c>
      <c r="B41">
        <v>6.4285714285714288E-5</v>
      </c>
      <c r="C41" t="s">
        <v>21</v>
      </c>
    </row>
    <row r="42" spans="1:3" x14ac:dyDescent="0.4">
      <c r="A42" t="s">
        <v>11</v>
      </c>
      <c r="B42">
        <v>1.2E-4</v>
      </c>
      <c r="C42" t="s">
        <v>21</v>
      </c>
    </row>
    <row r="43" spans="1:3" x14ac:dyDescent="0.4">
      <c r="A43" t="s">
        <v>11</v>
      </c>
      <c r="B43">
        <v>2.3076923076923076E-5</v>
      </c>
      <c r="C43" t="s">
        <v>21</v>
      </c>
    </row>
    <row r="44" spans="1:3" x14ac:dyDescent="0.4">
      <c r="A44" t="s">
        <v>12</v>
      </c>
      <c r="B44">
        <v>1.2500000000000001E-6</v>
      </c>
      <c r="C44" t="s">
        <v>21</v>
      </c>
    </row>
    <row r="45" spans="1:3" x14ac:dyDescent="0.4">
      <c r="A45" t="s">
        <v>12</v>
      </c>
      <c r="B45">
        <v>3.9130434782608699E-5</v>
      </c>
      <c r="C45" t="s">
        <v>21</v>
      </c>
    </row>
    <row r="46" spans="1:3" x14ac:dyDescent="0.4">
      <c r="A46" t="s">
        <v>12</v>
      </c>
      <c r="B46">
        <v>8.7499999999999999E-5</v>
      </c>
      <c r="C46" t="s">
        <v>21</v>
      </c>
    </row>
    <row r="47" spans="1:3" x14ac:dyDescent="0.4">
      <c r="A47" t="s">
        <v>13</v>
      </c>
      <c r="B47">
        <v>3.2499999999999997E-5</v>
      </c>
      <c r="C47" t="s">
        <v>21</v>
      </c>
    </row>
    <row r="48" spans="1:3" x14ac:dyDescent="0.4">
      <c r="A48" t="s">
        <v>13</v>
      </c>
      <c r="B48">
        <v>5.0000000000000004E-6</v>
      </c>
      <c r="C48" t="s">
        <v>21</v>
      </c>
    </row>
    <row r="49" spans="1:3" x14ac:dyDescent="0.4">
      <c r="A49" t="s">
        <v>13</v>
      </c>
      <c r="B49">
        <v>3.3333333333333335E-5</v>
      </c>
      <c r="C49" t="s">
        <v>21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783F7-BBD6-42F9-9DB4-B6BF42D39720}">
  <dimension ref="A1:E25"/>
  <sheetViews>
    <sheetView workbookViewId="0">
      <selection activeCell="A8" sqref="A8:A10"/>
    </sheetView>
  </sheetViews>
  <sheetFormatPr defaultRowHeight="17.399999999999999" x14ac:dyDescent="0.4"/>
  <cols>
    <col min="2" max="2" width="10.3984375" bestFit="1" customWidth="1"/>
  </cols>
  <sheetData>
    <row r="1" spans="1:5" x14ac:dyDescent="0.4">
      <c r="A1" t="s">
        <v>2</v>
      </c>
      <c r="B1" t="s">
        <v>0</v>
      </c>
      <c r="C1" t="s">
        <v>16</v>
      </c>
      <c r="D1" t="s">
        <v>1</v>
      </c>
      <c r="E1" t="s">
        <v>3</v>
      </c>
    </row>
    <row r="2" spans="1:5" x14ac:dyDescent="0.4">
      <c r="A2" t="s">
        <v>7</v>
      </c>
      <c r="B2">
        <f>10*10^6</f>
        <v>10000000</v>
      </c>
      <c r="C2">
        <f>400</f>
        <v>400</v>
      </c>
      <c r="D2">
        <f>C2/B2</f>
        <v>4.0000000000000003E-5</v>
      </c>
      <c r="E2" t="s">
        <v>18</v>
      </c>
    </row>
    <row r="3" spans="1:5" x14ac:dyDescent="0.4">
      <c r="A3" t="s">
        <v>7</v>
      </c>
      <c r="B3">
        <f>7*10^6</f>
        <v>7000000</v>
      </c>
      <c r="C3">
        <f>500</f>
        <v>500</v>
      </c>
      <c r="D3">
        <f t="shared" ref="D3:D25" si="0">C3/B3</f>
        <v>7.1428571428571434E-5</v>
      </c>
      <c r="E3" t="s">
        <v>18</v>
      </c>
    </row>
    <row r="4" spans="1:5" x14ac:dyDescent="0.4">
      <c r="A4" t="s">
        <v>7</v>
      </c>
      <c r="B4">
        <f>12*10^6</f>
        <v>12000000</v>
      </c>
      <c r="C4">
        <f>400</f>
        <v>400</v>
      </c>
      <c r="D4">
        <f t="shared" si="0"/>
        <v>3.3333333333333335E-5</v>
      </c>
      <c r="E4" t="s">
        <v>18</v>
      </c>
    </row>
    <row r="5" spans="1:5" x14ac:dyDescent="0.4">
      <c r="A5" t="s">
        <v>8</v>
      </c>
      <c r="B5">
        <f>5*10^6</f>
        <v>5000000</v>
      </c>
      <c r="C5">
        <f>600</f>
        <v>600</v>
      </c>
      <c r="D5">
        <f t="shared" si="0"/>
        <v>1.2E-4</v>
      </c>
      <c r="E5" t="s">
        <v>18</v>
      </c>
    </row>
    <row r="6" spans="1:5" x14ac:dyDescent="0.4">
      <c r="A6" t="s">
        <v>8</v>
      </c>
      <c r="B6">
        <f>22*10^6</f>
        <v>22000000</v>
      </c>
      <c r="C6">
        <f>500</f>
        <v>500</v>
      </c>
      <c r="D6">
        <f t="shared" si="0"/>
        <v>2.2727272727272726E-5</v>
      </c>
      <c r="E6" t="s">
        <v>18</v>
      </c>
    </row>
    <row r="7" spans="1:5" x14ac:dyDescent="0.4">
      <c r="A7" t="s">
        <v>8</v>
      </c>
      <c r="B7">
        <f>22*10^6</f>
        <v>22000000</v>
      </c>
      <c r="C7">
        <f>1600</f>
        <v>1600</v>
      </c>
      <c r="D7">
        <f t="shared" si="0"/>
        <v>7.2727272727272728E-5</v>
      </c>
      <c r="E7" t="s">
        <v>18</v>
      </c>
    </row>
    <row r="8" spans="1:5" x14ac:dyDescent="0.4">
      <c r="A8" t="s">
        <v>17</v>
      </c>
      <c r="B8">
        <f>12*10^6</f>
        <v>12000000</v>
      </c>
      <c r="C8">
        <f>300</f>
        <v>300</v>
      </c>
      <c r="D8">
        <f t="shared" si="0"/>
        <v>2.5000000000000001E-5</v>
      </c>
      <c r="E8" t="s">
        <v>18</v>
      </c>
    </row>
    <row r="9" spans="1:5" x14ac:dyDescent="0.4">
      <c r="A9" t="s">
        <v>17</v>
      </c>
      <c r="B9">
        <f>14*10^6</f>
        <v>14000000</v>
      </c>
      <c r="C9">
        <f>300</f>
        <v>300</v>
      </c>
      <c r="D9">
        <f t="shared" si="0"/>
        <v>2.1428571428571428E-5</v>
      </c>
      <c r="E9" t="s">
        <v>18</v>
      </c>
    </row>
    <row r="10" spans="1:5" x14ac:dyDescent="0.4">
      <c r="A10" t="s">
        <v>17</v>
      </c>
      <c r="B10">
        <f>8*10^6</f>
        <v>8000000</v>
      </c>
      <c r="C10">
        <f>200</f>
        <v>200</v>
      </c>
      <c r="D10">
        <f t="shared" si="0"/>
        <v>2.5000000000000001E-5</v>
      </c>
      <c r="E10" t="s">
        <v>18</v>
      </c>
    </row>
    <row r="11" spans="1:5" x14ac:dyDescent="0.4">
      <c r="A11" t="s">
        <v>9</v>
      </c>
      <c r="B11">
        <f>20*10^6</f>
        <v>20000000</v>
      </c>
      <c r="C11">
        <f>1100</f>
        <v>1100</v>
      </c>
      <c r="D11">
        <f t="shared" si="0"/>
        <v>5.5000000000000002E-5</v>
      </c>
      <c r="E11" t="s">
        <v>18</v>
      </c>
    </row>
    <row r="12" spans="1:5" x14ac:dyDescent="0.4">
      <c r="A12" t="s">
        <v>9</v>
      </c>
      <c r="B12">
        <f>14*10^6</f>
        <v>14000000</v>
      </c>
      <c r="C12">
        <f>600</f>
        <v>600</v>
      </c>
      <c r="D12">
        <f t="shared" si="0"/>
        <v>4.2857142857142856E-5</v>
      </c>
      <c r="E12" t="s">
        <v>18</v>
      </c>
    </row>
    <row r="13" spans="1:5" x14ac:dyDescent="0.4">
      <c r="A13" t="s">
        <v>9</v>
      </c>
      <c r="B13">
        <f>16*10^6</f>
        <v>16000000</v>
      </c>
      <c r="C13">
        <f>600</f>
        <v>600</v>
      </c>
      <c r="D13">
        <f t="shared" si="0"/>
        <v>3.7499999999999997E-5</v>
      </c>
      <c r="E13" t="s">
        <v>18</v>
      </c>
    </row>
    <row r="14" spans="1:5" x14ac:dyDescent="0.4">
      <c r="A14" t="s">
        <v>10</v>
      </c>
      <c r="B14">
        <f>8*10^6</f>
        <v>8000000</v>
      </c>
      <c r="C14">
        <f>400</f>
        <v>400</v>
      </c>
      <c r="D14">
        <f t="shared" si="0"/>
        <v>5.0000000000000002E-5</v>
      </c>
      <c r="E14" t="s">
        <v>18</v>
      </c>
    </row>
    <row r="15" spans="1:5" x14ac:dyDescent="0.4">
      <c r="A15" t="s">
        <v>10</v>
      </c>
      <c r="B15">
        <f>14*10^6</f>
        <v>14000000</v>
      </c>
      <c r="C15">
        <f>1200</f>
        <v>1200</v>
      </c>
      <c r="D15">
        <f t="shared" si="0"/>
        <v>8.5714285714285713E-5</v>
      </c>
      <c r="E15" t="s">
        <v>18</v>
      </c>
    </row>
    <row r="16" spans="1:5" x14ac:dyDescent="0.4">
      <c r="A16" t="s">
        <v>10</v>
      </c>
      <c r="B16">
        <f>10*10^6</f>
        <v>10000000</v>
      </c>
      <c r="C16">
        <f>500</f>
        <v>500</v>
      </c>
      <c r="D16">
        <f t="shared" si="0"/>
        <v>5.0000000000000002E-5</v>
      </c>
      <c r="E16" t="s">
        <v>18</v>
      </c>
    </row>
    <row r="17" spans="1:5" x14ac:dyDescent="0.4">
      <c r="A17" t="s">
        <v>11</v>
      </c>
      <c r="B17">
        <f>14*10^6</f>
        <v>14000000</v>
      </c>
      <c r="C17">
        <f>900</f>
        <v>900</v>
      </c>
      <c r="D17">
        <f t="shared" si="0"/>
        <v>6.4285714285714288E-5</v>
      </c>
      <c r="E17" t="s">
        <v>18</v>
      </c>
    </row>
    <row r="18" spans="1:5" x14ac:dyDescent="0.4">
      <c r="A18" t="s">
        <v>11</v>
      </c>
      <c r="B18">
        <f>10*10^6</f>
        <v>10000000</v>
      </c>
      <c r="C18">
        <f>1200</f>
        <v>1200</v>
      </c>
      <c r="D18">
        <f t="shared" si="0"/>
        <v>1.2E-4</v>
      </c>
      <c r="E18" t="s">
        <v>18</v>
      </c>
    </row>
    <row r="19" spans="1:5" x14ac:dyDescent="0.4">
      <c r="A19" t="s">
        <v>11</v>
      </c>
      <c r="B19">
        <f>13*10^6</f>
        <v>13000000</v>
      </c>
      <c r="C19">
        <f>300</f>
        <v>300</v>
      </c>
      <c r="D19">
        <f t="shared" si="0"/>
        <v>2.3076923076923076E-5</v>
      </c>
      <c r="E19" t="s">
        <v>18</v>
      </c>
    </row>
    <row r="20" spans="1:5" x14ac:dyDescent="0.4">
      <c r="A20" t="s">
        <v>12</v>
      </c>
      <c r="B20">
        <f>40*10^7</f>
        <v>400000000</v>
      </c>
      <c r="C20">
        <f>500</f>
        <v>500</v>
      </c>
      <c r="D20">
        <f t="shared" si="0"/>
        <v>1.2500000000000001E-6</v>
      </c>
      <c r="E20" t="s">
        <v>18</v>
      </c>
    </row>
    <row r="21" spans="1:5" x14ac:dyDescent="0.4">
      <c r="A21" t="s">
        <v>12</v>
      </c>
      <c r="B21">
        <f>23*10^6</f>
        <v>23000000</v>
      </c>
      <c r="C21">
        <f>900</f>
        <v>900</v>
      </c>
      <c r="D21">
        <f t="shared" si="0"/>
        <v>3.9130434782608699E-5</v>
      </c>
      <c r="E21" t="s">
        <v>18</v>
      </c>
    </row>
    <row r="22" spans="1:5" x14ac:dyDescent="0.4">
      <c r="A22" t="s">
        <v>12</v>
      </c>
      <c r="B22">
        <f>16*10^6</f>
        <v>16000000</v>
      </c>
      <c r="C22">
        <f>1400</f>
        <v>1400</v>
      </c>
      <c r="D22">
        <f t="shared" si="0"/>
        <v>8.7499999999999999E-5</v>
      </c>
      <c r="E22" t="s">
        <v>18</v>
      </c>
    </row>
    <row r="23" spans="1:5" x14ac:dyDescent="0.4">
      <c r="A23" t="s">
        <v>13</v>
      </c>
      <c r="B23">
        <f>4*10^7</f>
        <v>40000000</v>
      </c>
      <c r="C23">
        <f>1300</f>
        <v>1300</v>
      </c>
      <c r="D23">
        <f t="shared" si="0"/>
        <v>3.2499999999999997E-5</v>
      </c>
      <c r="E23" t="s">
        <v>18</v>
      </c>
    </row>
    <row r="24" spans="1:5" x14ac:dyDescent="0.4">
      <c r="A24" t="s">
        <v>13</v>
      </c>
      <c r="B24">
        <f>12*10^7</f>
        <v>120000000</v>
      </c>
      <c r="C24">
        <f>600</f>
        <v>600</v>
      </c>
      <c r="D24">
        <f t="shared" si="0"/>
        <v>5.0000000000000004E-6</v>
      </c>
      <c r="E24" t="s">
        <v>18</v>
      </c>
    </row>
    <row r="25" spans="1:5" x14ac:dyDescent="0.4">
      <c r="A25" t="s">
        <v>13</v>
      </c>
      <c r="B25">
        <f>24*10^6</f>
        <v>24000000</v>
      </c>
      <c r="C25">
        <f>800</f>
        <v>800</v>
      </c>
      <c r="D25">
        <f t="shared" si="0"/>
        <v>3.3333333333333335E-5</v>
      </c>
      <c r="E25" t="s">
        <v>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4F39-E640-42A7-9821-A5A2D5CFFF40}">
  <dimension ref="A1:E25"/>
  <sheetViews>
    <sheetView tabSelected="1" topLeftCell="A10" workbookViewId="0">
      <selection activeCell="D15" sqref="D15"/>
    </sheetView>
  </sheetViews>
  <sheetFormatPr defaultRowHeight="17.399999999999999" x14ac:dyDescent="0.4"/>
  <cols>
    <col min="2" max="2" width="9.3984375" bestFit="1" customWidth="1"/>
    <col min="4" max="4" width="12.69921875" customWidth="1"/>
  </cols>
  <sheetData>
    <row r="1" spans="1:5" x14ac:dyDescent="0.4">
      <c r="A1" t="s">
        <v>2</v>
      </c>
      <c r="B1" t="s">
        <v>0</v>
      </c>
      <c r="C1" t="s">
        <v>16</v>
      </c>
      <c r="D1" t="s">
        <v>19</v>
      </c>
      <c r="E1" t="s">
        <v>3</v>
      </c>
    </row>
    <row r="2" spans="1:5" x14ac:dyDescent="0.4">
      <c r="A2" t="s">
        <v>7</v>
      </c>
      <c r="B2">
        <f>2*10^7</f>
        <v>20000000</v>
      </c>
      <c r="C2">
        <f>31*10^5</f>
        <v>3100000</v>
      </c>
      <c r="D2">
        <f>C2/B2</f>
        <v>0.155</v>
      </c>
      <c r="E2" t="s">
        <v>5</v>
      </c>
    </row>
    <row r="3" spans="1:5" x14ac:dyDescent="0.4">
      <c r="A3" t="s">
        <v>7</v>
      </c>
      <c r="B3">
        <f>9*10^6</f>
        <v>9000000</v>
      </c>
      <c r="C3">
        <f>8*10^5</f>
        <v>800000</v>
      </c>
      <c r="D3">
        <f t="shared" ref="D3:D25" si="0">C3/B3</f>
        <v>8.8888888888888892E-2</v>
      </c>
      <c r="E3" t="s">
        <v>5</v>
      </c>
    </row>
    <row r="4" spans="1:5" x14ac:dyDescent="0.4">
      <c r="A4" t="s">
        <v>7</v>
      </c>
      <c r="B4">
        <f>2*10^7</f>
        <v>20000000</v>
      </c>
      <c r="C4">
        <f>41*10^5</f>
        <v>4100000</v>
      </c>
      <c r="D4">
        <f t="shared" si="0"/>
        <v>0.20499999999999999</v>
      </c>
      <c r="E4" t="s">
        <v>5</v>
      </c>
    </row>
    <row r="5" spans="1:5" x14ac:dyDescent="0.4">
      <c r="A5" t="s">
        <v>8</v>
      </c>
      <c r="B5">
        <f>2*10^7</f>
        <v>20000000</v>
      </c>
      <c r="C5">
        <f>7*10^4</f>
        <v>70000</v>
      </c>
      <c r="D5">
        <f t="shared" si="0"/>
        <v>3.5000000000000001E-3</v>
      </c>
      <c r="E5" t="s">
        <v>5</v>
      </c>
    </row>
    <row r="6" spans="1:5" x14ac:dyDescent="0.4">
      <c r="A6" t="s">
        <v>8</v>
      </c>
      <c r="B6">
        <f>10^7</f>
        <v>10000000</v>
      </c>
      <c r="C6">
        <f>18*10^3</f>
        <v>18000</v>
      </c>
      <c r="D6">
        <f t="shared" si="0"/>
        <v>1.8E-3</v>
      </c>
      <c r="E6" t="s">
        <v>5</v>
      </c>
    </row>
    <row r="7" spans="1:5" x14ac:dyDescent="0.4">
      <c r="A7" t="s">
        <v>8</v>
      </c>
      <c r="B7">
        <f>10^7</f>
        <v>10000000</v>
      </c>
      <c r="C7">
        <f>11*10^3</f>
        <v>11000</v>
      </c>
      <c r="D7">
        <f t="shared" si="0"/>
        <v>1.1000000000000001E-3</v>
      </c>
      <c r="E7" t="s">
        <v>5</v>
      </c>
    </row>
    <row r="8" spans="1:5" x14ac:dyDescent="0.4">
      <c r="A8" t="s">
        <v>17</v>
      </c>
      <c r="B8">
        <f>2*10^7</f>
        <v>20000000</v>
      </c>
      <c r="C8">
        <f>6*10^4</f>
        <v>60000</v>
      </c>
      <c r="D8">
        <f t="shared" si="0"/>
        <v>3.0000000000000001E-3</v>
      </c>
      <c r="E8" t="s">
        <v>5</v>
      </c>
    </row>
    <row r="9" spans="1:5" x14ac:dyDescent="0.4">
      <c r="A9" t="s">
        <v>17</v>
      </c>
      <c r="B9">
        <f>5*10^7</f>
        <v>50000000</v>
      </c>
      <c r="C9">
        <f>4*10^3</f>
        <v>4000</v>
      </c>
      <c r="D9">
        <f t="shared" si="0"/>
        <v>8.0000000000000007E-5</v>
      </c>
      <c r="E9" t="s">
        <v>5</v>
      </c>
    </row>
    <row r="10" spans="1:5" x14ac:dyDescent="0.4">
      <c r="A10" t="s">
        <v>17</v>
      </c>
      <c r="B10">
        <f>3*10^7</f>
        <v>30000000</v>
      </c>
      <c r="C10">
        <f>13*10^3</f>
        <v>13000</v>
      </c>
      <c r="D10">
        <f t="shared" si="0"/>
        <v>4.3333333333333331E-4</v>
      </c>
      <c r="E10" t="s">
        <v>5</v>
      </c>
    </row>
    <row r="11" spans="1:5" x14ac:dyDescent="0.4">
      <c r="A11" t="s">
        <v>9</v>
      </c>
      <c r="B11">
        <f>4*10^7</f>
        <v>40000000</v>
      </c>
      <c r="C11">
        <f>28*10^3</f>
        <v>28000</v>
      </c>
      <c r="D11">
        <f t="shared" si="0"/>
        <v>6.9999999999999999E-4</v>
      </c>
      <c r="E11" t="s">
        <v>5</v>
      </c>
    </row>
    <row r="12" spans="1:5" x14ac:dyDescent="0.4">
      <c r="A12" t="s">
        <v>9</v>
      </c>
      <c r="B12">
        <f>6*10^7</f>
        <v>60000000</v>
      </c>
      <c r="C12">
        <f>40*10^3</f>
        <v>40000</v>
      </c>
      <c r="D12">
        <f t="shared" si="0"/>
        <v>6.6666666666666664E-4</v>
      </c>
      <c r="E12" t="s">
        <v>5</v>
      </c>
    </row>
    <row r="13" spans="1:5" x14ac:dyDescent="0.4">
      <c r="A13" t="s">
        <v>9</v>
      </c>
      <c r="B13">
        <f>15*10^6</f>
        <v>15000000</v>
      </c>
      <c r="C13">
        <f>20*10^3</f>
        <v>20000</v>
      </c>
      <c r="D13">
        <f t="shared" si="0"/>
        <v>1.3333333333333333E-3</v>
      </c>
      <c r="E13" t="s">
        <v>5</v>
      </c>
    </row>
    <row r="14" spans="1:5" x14ac:dyDescent="0.4">
      <c r="A14" t="s">
        <v>10</v>
      </c>
      <c r="B14">
        <f>3*10^7</f>
        <v>30000000</v>
      </c>
      <c r="C14">
        <f>2*10^4</f>
        <v>20000</v>
      </c>
      <c r="D14">
        <f t="shared" si="0"/>
        <v>6.6666666666666664E-4</v>
      </c>
      <c r="E14" t="s">
        <v>5</v>
      </c>
    </row>
    <row r="15" spans="1:5" x14ac:dyDescent="0.4">
      <c r="A15" t="s">
        <v>10</v>
      </c>
      <c r="B15">
        <f>6*10^7</f>
        <v>60000000</v>
      </c>
      <c r="C15">
        <f>6*10^4</f>
        <v>60000</v>
      </c>
      <c r="D15">
        <f t="shared" si="0"/>
        <v>1E-3</v>
      </c>
      <c r="E15" t="s">
        <v>5</v>
      </c>
    </row>
    <row r="16" spans="1:5" x14ac:dyDescent="0.4">
      <c r="A16" t="s">
        <v>10</v>
      </c>
      <c r="B16">
        <f>2*10^7</f>
        <v>20000000</v>
      </c>
      <c r="C16">
        <f>3*10^4</f>
        <v>30000</v>
      </c>
      <c r="D16">
        <f t="shared" si="0"/>
        <v>1.5E-3</v>
      </c>
      <c r="E16" t="s">
        <v>5</v>
      </c>
    </row>
    <row r="17" spans="1:5" x14ac:dyDescent="0.4">
      <c r="A17" t="s">
        <v>11</v>
      </c>
      <c r="B17">
        <f>2*10^7</f>
        <v>20000000</v>
      </c>
      <c r="C17">
        <f>14*10^3</f>
        <v>14000</v>
      </c>
      <c r="D17">
        <f t="shared" si="0"/>
        <v>6.9999999999999999E-4</v>
      </c>
      <c r="E17" t="s">
        <v>5</v>
      </c>
    </row>
    <row r="18" spans="1:5" x14ac:dyDescent="0.4">
      <c r="A18" t="s">
        <v>11</v>
      </c>
      <c r="B18">
        <f>10^7</f>
        <v>10000000</v>
      </c>
      <c r="C18">
        <f>18*10^3</f>
        <v>18000</v>
      </c>
      <c r="D18">
        <f t="shared" si="0"/>
        <v>1.8E-3</v>
      </c>
      <c r="E18" t="s">
        <v>5</v>
      </c>
    </row>
    <row r="19" spans="1:5" x14ac:dyDescent="0.4">
      <c r="A19" t="s">
        <v>11</v>
      </c>
      <c r="B19">
        <f>3*10^7</f>
        <v>30000000</v>
      </c>
      <c r="C19">
        <f>15*10^3</f>
        <v>15000</v>
      </c>
      <c r="D19">
        <f t="shared" si="0"/>
        <v>5.0000000000000001E-4</v>
      </c>
      <c r="E19" t="s">
        <v>5</v>
      </c>
    </row>
    <row r="20" spans="1:5" x14ac:dyDescent="0.4">
      <c r="A20" t="s">
        <v>12</v>
      </c>
      <c r="B20">
        <f>6*10^7</f>
        <v>60000000</v>
      </c>
      <c r="C20">
        <f>28*10^3</f>
        <v>28000</v>
      </c>
      <c r="D20">
        <f t="shared" si="0"/>
        <v>4.6666666666666666E-4</v>
      </c>
      <c r="E20" t="s">
        <v>5</v>
      </c>
    </row>
    <row r="21" spans="1:5" x14ac:dyDescent="0.4">
      <c r="A21" t="s">
        <v>12</v>
      </c>
      <c r="B21">
        <f>10^7</f>
        <v>10000000</v>
      </c>
      <c r="C21">
        <f>16*10^3</f>
        <v>16000</v>
      </c>
      <c r="D21">
        <f t="shared" si="0"/>
        <v>1.6000000000000001E-3</v>
      </c>
      <c r="E21" t="s">
        <v>5</v>
      </c>
    </row>
    <row r="22" spans="1:5" x14ac:dyDescent="0.4">
      <c r="A22" t="s">
        <v>12</v>
      </c>
      <c r="B22">
        <f>7*10^7</f>
        <v>70000000</v>
      </c>
      <c r="C22">
        <f>15*10^3</f>
        <v>15000</v>
      </c>
      <c r="D22">
        <f t="shared" si="0"/>
        <v>2.1428571428571427E-4</v>
      </c>
      <c r="E22" t="s">
        <v>5</v>
      </c>
    </row>
    <row r="23" spans="1:5" x14ac:dyDescent="0.4">
      <c r="A23" t="s">
        <v>13</v>
      </c>
      <c r="B23">
        <f>2*10^7</f>
        <v>20000000</v>
      </c>
      <c r="C23">
        <f>20*10^3</f>
        <v>20000</v>
      </c>
      <c r="D23">
        <f t="shared" si="0"/>
        <v>1E-3</v>
      </c>
      <c r="E23" t="s">
        <v>5</v>
      </c>
    </row>
    <row r="24" spans="1:5" x14ac:dyDescent="0.4">
      <c r="A24" t="s">
        <v>13</v>
      </c>
      <c r="B24">
        <f>8*10^7</f>
        <v>80000000</v>
      </c>
      <c r="C24">
        <f>3*10^4</f>
        <v>30000</v>
      </c>
      <c r="D24">
        <f t="shared" si="0"/>
        <v>3.7500000000000001E-4</v>
      </c>
      <c r="E24" t="s">
        <v>5</v>
      </c>
    </row>
    <row r="25" spans="1:5" x14ac:dyDescent="0.4">
      <c r="A25" t="s">
        <v>13</v>
      </c>
      <c r="B25">
        <f>9*10^7</f>
        <v>90000000</v>
      </c>
      <c r="C25">
        <f>2*10^4</f>
        <v>20000</v>
      </c>
      <c r="D25">
        <f t="shared" si="0"/>
        <v>2.2222222222222223E-4</v>
      </c>
      <c r="E25" t="s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E2C73-9001-436A-BEAA-11216FBA2679}">
  <dimension ref="A1:C49"/>
  <sheetViews>
    <sheetView topLeftCell="A37" workbookViewId="0">
      <selection activeCell="A32" sqref="A32:A34"/>
    </sheetView>
  </sheetViews>
  <sheetFormatPr defaultRowHeight="17.399999999999999" x14ac:dyDescent="0.4"/>
  <sheetData>
    <row r="1" spans="1:3" x14ac:dyDescent="0.4">
      <c r="A1" t="s">
        <v>4</v>
      </c>
      <c r="B1" t="s">
        <v>19</v>
      </c>
      <c r="C1" t="s">
        <v>3</v>
      </c>
    </row>
    <row r="2" spans="1:3" x14ac:dyDescent="0.4">
      <c r="A2" t="s">
        <v>7</v>
      </c>
      <c r="B2">
        <v>8.7499999999999992E-6</v>
      </c>
      <c r="C2" t="s">
        <v>6</v>
      </c>
    </row>
    <row r="3" spans="1:3" x14ac:dyDescent="0.4">
      <c r="A3" t="s">
        <v>7</v>
      </c>
      <c r="B3">
        <v>1.5999999999999999E-5</v>
      </c>
      <c r="C3" t="s">
        <v>6</v>
      </c>
    </row>
    <row r="4" spans="1:3" x14ac:dyDescent="0.4">
      <c r="A4" t="s">
        <v>7</v>
      </c>
      <c r="B4">
        <v>9.3749999999999992E-6</v>
      </c>
      <c r="C4" t="s">
        <v>6</v>
      </c>
    </row>
    <row r="5" spans="1:3" x14ac:dyDescent="0.4">
      <c r="A5" t="s">
        <v>8</v>
      </c>
      <c r="B5">
        <v>2.7142857142857144E-5</v>
      </c>
      <c r="C5" t="s">
        <v>6</v>
      </c>
    </row>
    <row r="6" spans="1:3" x14ac:dyDescent="0.4">
      <c r="A6" t="s">
        <v>8</v>
      </c>
      <c r="B6">
        <v>5.7500000000000002E-5</v>
      </c>
      <c r="C6" t="s">
        <v>6</v>
      </c>
    </row>
    <row r="7" spans="1:3" x14ac:dyDescent="0.4">
      <c r="A7" t="s">
        <v>8</v>
      </c>
      <c r="B7">
        <v>6.6666666666666666E-6</v>
      </c>
      <c r="C7" t="s">
        <v>6</v>
      </c>
    </row>
    <row r="8" spans="1:3" x14ac:dyDescent="0.4">
      <c r="A8" t="s">
        <v>17</v>
      </c>
      <c r="B8">
        <v>1.2307692307692308E-5</v>
      </c>
      <c r="C8" t="s">
        <v>6</v>
      </c>
    </row>
    <row r="9" spans="1:3" x14ac:dyDescent="0.4">
      <c r="A9" t="s">
        <v>17</v>
      </c>
      <c r="B9">
        <v>2.3809523809523808E-6</v>
      </c>
      <c r="C9" t="s">
        <v>6</v>
      </c>
    </row>
    <row r="10" spans="1:3" x14ac:dyDescent="0.4">
      <c r="A10" t="s">
        <v>17</v>
      </c>
      <c r="B10">
        <v>1.0000000000000001E-5</v>
      </c>
      <c r="C10" t="s">
        <v>6</v>
      </c>
    </row>
    <row r="11" spans="1:3" x14ac:dyDescent="0.4">
      <c r="A11" t="s">
        <v>9</v>
      </c>
      <c r="B11">
        <v>2.5000000000000001E-5</v>
      </c>
      <c r="C11" t="s">
        <v>6</v>
      </c>
    </row>
    <row r="12" spans="1:3" x14ac:dyDescent="0.4">
      <c r="A12" t="s">
        <v>9</v>
      </c>
      <c r="B12">
        <v>8.5714285714285709E-6</v>
      </c>
      <c r="C12" t="s">
        <v>6</v>
      </c>
    </row>
    <row r="13" spans="1:3" x14ac:dyDescent="0.4">
      <c r="A13" t="s">
        <v>9</v>
      </c>
      <c r="B13">
        <v>3.7499999999999997E-5</v>
      </c>
      <c r="C13" t="s">
        <v>6</v>
      </c>
    </row>
    <row r="14" spans="1:3" x14ac:dyDescent="0.4">
      <c r="A14" t="s">
        <v>10</v>
      </c>
      <c r="B14">
        <v>1.764705882352941E-5</v>
      </c>
      <c r="C14" t="s">
        <v>6</v>
      </c>
    </row>
    <row r="15" spans="1:3" x14ac:dyDescent="0.4">
      <c r="A15" t="s">
        <v>10</v>
      </c>
      <c r="B15">
        <v>1.0666666666666667E-5</v>
      </c>
      <c r="C15" t="s">
        <v>6</v>
      </c>
    </row>
    <row r="16" spans="1:3" x14ac:dyDescent="0.4">
      <c r="A16" t="s">
        <v>10</v>
      </c>
      <c r="B16">
        <v>1.0000000000000001E-5</v>
      </c>
      <c r="C16" t="s">
        <v>6</v>
      </c>
    </row>
    <row r="17" spans="1:3" x14ac:dyDescent="0.4">
      <c r="A17" t="s">
        <v>11</v>
      </c>
      <c r="B17">
        <v>6.8000000000000005E-2</v>
      </c>
      <c r="C17" t="s">
        <v>6</v>
      </c>
    </row>
    <row r="18" spans="1:3" x14ac:dyDescent="0.4">
      <c r="A18" t="s">
        <v>11</v>
      </c>
      <c r="B18">
        <v>0.3125</v>
      </c>
      <c r="C18" t="s">
        <v>6</v>
      </c>
    </row>
    <row r="19" spans="1:3" x14ac:dyDescent="0.4">
      <c r="A19" t="s">
        <v>11</v>
      </c>
      <c r="B19">
        <v>0.53333333333333333</v>
      </c>
      <c r="C19" t="s">
        <v>6</v>
      </c>
    </row>
    <row r="20" spans="1:3" x14ac:dyDescent="0.4">
      <c r="A20" t="s">
        <v>12</v>
      </c>
      <c r="B20">
        <v>9.7560975609756103E-5</v>
      </c>
      <c r="C20" t="s">
        <v>6</v>
      </c>
    </row>
    <row r="21" spans="1:3" x14ac:dyDescent="0.4">
      <c r="A21" t="s">
        <v>12</v>
      </c>
      <c r="B21">
        <v>8.8235294117647065E-5</v>
      </c>
      <c r="C21" t="s">
        <v>6</v>
      </c>
    </row>
    <row r="22" spans="1:3" x14ac:dyDescent="0.4">
      <c r="A22" t="s">
        <v>12</v>
      </c>
      <c r="B22">
        <v>5.0000000000000002E-5</v>
      </c>
      <c r="C22" t="s">
        <v>6</v>
      </c>
    </row>
    <row r="23" spans="1:3" x14ac:dyDescent="0.4">
      <c r="A23" t="s">
        <v>13</v>
      </c>
      <c r="B23">
        <v>4.6874999999999996E-6</v>
      </c>
      <c r="C23" t="s">
        <v>6</v>
      </c>
    </row>
    <row r="24" spans="1:3" x14ac:dyDescent="0.4">
      <c r="A24" t="s">
        <v>13</v>
      </c>
      <c r="B24">
        <v>8.6666666666666661E-6</v>
      </c>
      <c r="C24" t="s">
        <v>6</v>
      </c>
    </row>
    <row r="25" spans="1:3" x14ac:dyDescent="0.4">
      <c r="A25" t="s">
        <v>13</v>
      </c>
      <c r="B25">
        <v>3.2499999999999998E-6</v>
      </c>
      <c r="C25" t="s">
        <v>6</v>
      </c>
    </row>
    <row r="26" spans="1:3" x14ac:dyDescent="0.4">
      <c r="A26" t="s">
        <v>20</v>
      </c>
      <c r="B26">
        <v>9.9999999999999995E-7</v>
      </c>
      <c r="C26" t="s">
        <v>21</v>
      </c>
    </row>
    <row r="27" spans="1:3" x14ac:dyDescent="0.4">
      <c r="A27" t="s">
        <v>20</v>
      </c>
      <c r="B27">
        <v>4.2857142857142857E-7</v>
      </c>
      <c r="C27" t="s">
        <v>21</v>
      </c>
    </row>
    <row r="28" spans="1:3" x14ac:dyDescent="0.4">
      <c r="A28" t="s">
        <v>20</v>
      </c>
      <c r="B28">
        <v>2.4999999999999999E-7</v>
      </c>
      <c r="C28" t="s">
        <v>21</v>
      </c>
    </row>
    <row r="29" spans="1:3" x14ac:dyDescent="0.4">
      <c r="A29" t="s">
        <v>22</v>
      </c>
      <c r="B29">
        <v>5.2941176470588239E-7</v>
      </c>
      <c r="C29" t="s">
        <v>21</v>
      </c>
    </row>
    <row r="30" spans="1:3" x14ac:dyDescent="0.4">
      <c r="A30" t="s">
        <v>22</v>
      </c>
      <c r="B30">
        <v>5.7142857142857139E-7</v>
      </c>
      <c r="C30" t="s">
        <v>21</v>
      </c>
    </row>
    <row r="31" spans="1:3" x14ac:dyDescent="0.4">
      <c r="A31" t="s">
        <v>22</v>
      </c>
      <c r="B31">
        <v>7.5000000000000002E-7</v>
      </c>
      <c r="C31" t="s">
        <v>21</v>
      </c>
    </row>
    <row r="32" spans="1:3" x14ac:dyDescent="0.4">
      <c r="A32" t="s">
        <v>17</v>
      </c>
      <c r="B32">
        <v>5.7142857142857139E-7</v>
      </c>
      <c r="C32" t="s">
        <v>21</v>
      </c>
    </row>
    <row r="33" spans="1:3" x14ac:dyDescent="0.4">
      <c r="A33" t="s">
        <v>17</v>
      </c>
      <c r="B33">
        <v>7.2727272727272732E-7</v>
      </c>
      <c r="C33" t="s">
        <v>21</v>
      </c>
    </row>
    <row r="34" spans="1:3" x14ac:dyDescent="0.4">
      <c r="A34" t="s">
        <v>17</v>
      </c>
      <c r="B34">
        <v>7.5000000000000002E-7</v>
      </c>
      <c r="C34" t="s">
        <v>21</v>
      </c>
    </row>
    <row r="35" spans="1:3" x14ac:dyDescent="0.4">
      <c r="A35" t="s">
        <v>23</v>
      </c>
      <c r="B35">
        <v>6.1538461538461538E-7</v>
      </c>
      <c r="C35" t="s">
        <v>21</v>
      </c>
    </row>
    <row r="36" spans="1:3" x14ac:dyDescent="0.4">
      <c r="A36" t="s">
        <v>23</v>
      </c>
      <c r="B36">
        <v>9.9999999999999995E-7</v>
      </c>
      <c r="C36" t="s">
        <v>21</v>
      </c>
    </row>
    <row r="37" spans="1:3" x14ac:dyDescent="0.4">
      <c r="A37" t="s">
        <v>23</v>
      </c>
      <c r="B37">
        <v>1.1818181818181818E-6</v>
      </c>
      <c r="C37" t="s">
        <v>21</v>
      </c>
    </row>
    <row r="38" spans="1:3" x14ac:dyDescent="0.4">
      <c r="A38" t="s">
        <v>24</v>
      </c>
      <c r="B38">
        <v>5.3846153846153845E-7</v>
      </c>
      <c r="C38" t="s">
        <v>21</v>
      </c>
    </row>
    <row r="39" spans="1:3" x14ac:dyDescent="0.4">
      <c r="A39" t="s">
        <v>24</v>
      </c>
      <c r="B39">
        <v>9.0909090909090904E-7</v>
      </c>
      <c r="C39" t="s">
        <v>21</v>
      </c>
    </row>
    <row r="40" spans="1:3" x14ac:dyDescent="0.4">
      <c r="A40" t="s">
        <v>24</v>
      </c>
      <c r="B40">
        <v>9.9999999999999995E-8</v>
      </c>
      <c r="C40" t="s">
        <v>21</v>
      </c>
    </row>
    <row r="41" spans="1:3" x14ac:dyDescent="0.4">
      <c r="A41" t="s">
        <v>25</v>
      </c>
      <c r="B41">
        <v>6.6666666666666671E-7</v>
      </c>
      <c r="C41" t="s">
        <v>21</v>
      </c>
    </row>
    <row r="42" spans="1:3" x14ac:dyDescent="0.4">
      <c r="A42" t="s">
        <v>25</v>
      </c>
      <c r="B42">
        <v>7.5000000000000002E-7</v>
      </c>
      <c r="C42" t="s">
        <v>21</v>
      </c>
    </row>
    <row r="43" spans="1:3" x14ac:dyDescent="0.4">
      <c r="A43" t="s">
        <v>25</v>
      </c>
      <c r="B43">
        <v>1.4285714285714285E-7</v>
      </c>
      <c r="C43" t="s">
        <v>21</v>
      </c>
    </row>
    <row r="44" spans="1:3" x14ac:dyDescent="0.4">
      <c r="A44" t="s">
        <v>26</v>
      </c>
      <c r="B44">
        <v>1.3043478260869566E-8</v>
      </c>
      <c r="C44" t="s">
        <v>21</v>
      </c>
    </row>
    <row r="45" spans="1:3" x14ac:dyDescent="0.4">
      <c r="A45" t="s">
        <v>26</v>
      </c>
      <c r="B45">
        <v>2.3076923076923078E-7</v>
      </c>
      <c r="C45" t="s">
        <v>21</v>
      </c>
    </row>
    <row r="46" spans="1:3" x14ac:dyDescent="0.4">
      <c r="A46" t="s">
        <v>26</v>
      </c>
      <c r="B46">
        <v>4.2857142857142857E-7</v>
      </c>
      <c r="C46" t="s">
        <v>21</v>
      </c>
    </row>
    <row r="47" spans="1:3" x14ac:dyDescent="0.4">
      <c r="A47" t="s">
        <v>27</v>
      </c>
      <c r="B47">
        <v>3.9999999999999998E-7</v>
      </c>
      <c r="C47" t="s">
        <v>21</v>
      </c>
    </row>
    <row r="48" spans="1:3" x14ac:dyDescent="0.4">
      <c r="A48" t="s">
        <v>27</v>
      </c>
      <c r="B48">
        <v>6.8421052631578946E-7</v>
      </c>
      <c r="C48" t="s">
        <v>21</v>
      </c>
    </row>
    <row r="49" spans="1:3" x14ac:dyDescent="0.4">
      <c r="A49" t="s">
        <v>27</v>
      </c>
      <c r="B49">
        <v>2.1739130434782609E-7</v>
      </c>
      <c r="C49" t="s">
        <v>21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41609-E4C1-4313-83C6-6926ABD7E344}">
  <dimension ref="A1:E25"/>
  <sheetViews>
    <sheetView topLeftCell="A4" workbookViewId="0">
      <selection activeCell="A10" sqref="A8:A10"/>
    </sheetView>
  </sheetViews>
  <sheetFormatPr defaultRowHeight="17.399999999999999" x14ac:dyDescent="0.4"/>
  <cols>
    <col min="1" max="1" width="12.796875" customWidth="1"/>
    <col min="2" max="3" width="9.5" bestFit="1" customWidth="1"/>
    <col min="4" max="4" width="11.5" bestFit="1" customWidth="1"/>
  </cols>
  <sheetData>
    <row r="1" spans="1:5" x14ac:dyDescent="0.4">
      <c r="A1" t="s">
        <v>2</v>
      </c>
      <c r="B1" t="s">
        <v>14</v>
      </c>
      <c r="C1" t="s">
        <v>15</v>
      </c>
      <c r="D1" t="s">
        <v>19</v>
      </c>
      <c r="E1" t="s">
        <v>3</v>
      </c>
    </row>
    <row r="2" spans="1:5" x14ac:dyDescent="0.4">
      <c r="A2" t="s">
        <v>7</v>
      </c>
      <c r="B2">
        <f>16*10^6</f>
        <v>16000000</v>
      </c>
      <c r="C2">
        <f>140</f>
        <v>140</v>
      </c>
      <c r="D2">
        <f>C2/B2</f>
        <v>8.7499999999999992E-6</v>
      </c>
      <c r="E2" t="s">
        <v>5</v>
      </c>
    </row>
    <row r="3" spans="1:5" x14ac:dyDescent="0.4">
      <c r="A3" t="s">
        <v>7</v>
      </c>
      <c r="B3">
        <f>15*10^6</f>
        <v>15000000</v>
      </c>
      <c r="C3">
        <f>240</f>
        <v>240</v>
      </c>
      <c r="D3">
        <f t="shared" ref="D3:D25" si="0">C3/B3</f>
        <v>1.5999999999999999E-5</v>
      </c>
      <c r="E3" t="s">
        <v>5</v>
      </c>
    </row>
    <row r="4" spans="1:5" x14ac:dyDescent="0.4">
      <c r="A4" t="s">
        <v>7</v>
      </c>
      <c r="B4">
        <f>16*10^6</f>
        <v>16000000</v>
      </c>
      <c r="C4">
        <f>150</f>
        <v>150</v>
      </c>
      <c r="D4">
        <f t="shared" si="0"/>
        <v>9.3749999999999992E-6</v>
      </c>
      <c r="E4" t="s">
        <v>5</v>
      </c>
    </row>
    <row r="5" spans="1:5" x14ac:dyDescent="0.4">
      <c r="A5" t="s">
        <v>8</v>
      </c>
      <c r="B5">
        <f>7*10^6</f>
        <v>7000000</v>
      </c>
      <c r="C5">
        <f>190</f>
        <v>190</v>
      </c>
      <c r="D5">
        <f t="shared" si="0"/>
        <v>2.7142857142857144E-5</v>
      </c>
      <c r="E5" t="s">
        <v>5</v>
      </c>
    </row>
    <row r="6" spans="1:5" x14ac:dyDescent="0.4">
      <c r="A6" t="s">
        <v>8</v>
      </c>
      <c r="B6">
        <f>4*10^6</f>
        <v>4000000</v>
      </c>
      <c r="C6">
        <f>230</f>
        <v>230</v>
      </c>
      <c r="D6">
        <f t="shared" si="0"/>
        <v>5.7500000000000002E-5</v>
      </c>
      <c r="E6" t="s">
        <v>5</v>
      </c>
    </row>
    <row r="7" spans="1:5" x14ac:dyDescent="0.4">
      <c r="A7" t="s">
        <v>8</v>
      </c>
      <c r="B7">
        <f>18*10^6</f>
        <v>18000000</v>
      </c>
      <c r="C7">
        <f>120</f>
        <v>120</v>
      </c>
      <c r="D7">
        <f t="shared" si="0"/>
        <v>6.6666666666666666E-6</v>
      </c>
      <c r="E7" t="s">
        <v>5</v>
      </c>
    </row>
    <row r="8" spans="1:5" x14ac:dyDescent="0.4">
      <c r="A8" t="s">
        <v>17</v>
      </c>
      <c r="B8">
        <f>13*10^6</f>
        <v>13000000</v>
      </c>
      <c r="C8">
        <f>160</f>
        <v>160</v>
      </c>
      <c r="D8">
        <f t="shared" si="0"/>
        <v>1.2307692307692308E-5</v>
      </c>
      <c r="E8" t="s">
        <v>5</v>
      </c>
    </row>
    <row r="9" spans="1:5" x14ac:dyDescent="0.4">
      <c r="A9" t="s">
        <v>17</v>
      </c>
      <c r="B9">
        <f>21*10^6</f>
        <v>21000000</v>
      </c>
      <c r="C9">
        <f>50</f>
        <v>50</v>
      </c>
      <c r="D9">
        <f t="shared" si="0"/>
        <v>2.3809523809523808E-6</v>
      </c>
      <c r="E9" t="s">
        <v>5</v>
      </c>
    </row>
    <row r="10" spans="1:5" x14ac:dyDescent="0.4">
      <c r="A10" t="s">
        <v>17</v>
      </c>
      <c r="B10">
        <f>3*10^7</f>
        <v>30000000</v>
      </c>
      <c r="C10">
        <f>300</f>
        <v>300</v>
      </c>
      <c r="D10">
        <f t="shared" si="0"/>
        <v>1.0000000000000001E-5</v>
      </c>
      <c r="E10" t="s">
        <v>5</v>
      </c>
    </row>
    <row r="11" spans="1:5" x14ac:dyDescent="0.4">
      <c r="A11" t="s">
        <v>9</v>
      </c>
      <c r="B11">
        <f>2*10^7</f>
        <v>20000000</v>
      </c>
      <c r="C11">
        <f>500</f>
        <v>500</v>
      </c>
      <c r="D11">
        <f t="shared" si="0"/>
        <v>2.5000000000000001E-5</v>
      </c>
      <c r="E11" t="s">
        <v>5</v>
      </c>
    </row>
    <row r="12" spans="1:5" x14ac:dyDescent="0.4">
      <c r="A12" t="s">
        <v>9</v>
      </c>
      <c r="B12">
        <f>28*10^6</f>
        <v>28000000</v>
      </c>
      <c r="C12">
        <f>240</f>
        <v>240</v>
      </c>
      <c r="D12">
        <f t="shared" si="0"/>
        <v>8.5714285714285709E-6</v>
      </c>
      <c r="E12" t="s">
        <v>5</v>
      </c>
    </row>
    <row r="13" spans="1:5" x14ac:dyDescent="0.4">
      <c r="A13" t="s">
        <v>9</v>
      </c>
      <c r="B13">
        <f>16*10^6</f>
        <v>16000000</v>
      </c>
      <c r="C13">
        <f>600</f>
        <v>600</v>
      </c>
      <c r="D13">
        <f t="shared" si="0"/>
        <v>3.7499999999999997E-5</v>
      </c>
      <c r="E13" t="s">
        <v>5</v>
      </c>
    </row>
    <row r="14" spans="1:5" x14ac:dyDescent="0.4">
      <c r="A14" t="s">
        <v>10</v>
      </c>
      <c r="B14">
        <f>17*10^6</f>
        <v>17000000</v>
      </c>
      <c r="C14">
        <f>300</f>
        <v>300</v>
      </c>
      <c r="D14">
        <f t="shared" si="0"/>
        <v>1.764705882352941E-5</v>
      </c>
      <c r="E14" t="s">
        <v>5</v>
      </c>
    </row>
    <row r="15" spans="1:5" x14ac:dyDescent="0.4">
      <c r="A15" t="s">
        <v>10</v>
      </c>
      <c r="B15">
        <f>3*10^7</f>
        <v>30000000</v>
      </c>
      <c r="C15">
        <f>320</f>
        <v>320</v>
      </c>
      <c r="D15">
        <f t="shared" si="0"/>
        <v>1.0666666666666667E-5</v>
      </c>
      <c r="E15" t="s">
        <v>5</v>
      </c>
    </row>
    <row r="16" spans="1:5" x14ac:dyDescent="0.4">
      <c r="A16" t="s">
        <v>10</v>
      </c>
      <c r="B16">
        <f>20*10^6</f>
        <v>20000000</v>
      </c>
      <c r="C16">
        <f>200</f>
        <v>200</v>
      </c>
      <c r="D16">
        <f t="shared" si="0"/>
        <v>1.0000000000000001E-5</v>
      </c>
      <c r="E16" t="s">
        <v>5</v>
      </c>
    </row>
    <row r="17" spans="1:5" x14ac:dyDescent="0.4">
      <c r="A17" t="s">
        <v>11</v>
      </c>
      <c r="B17">
        <f>25*10^6</f>
        <v>25000000</v>
      </c>
      <c r="C17">
        <f>17*10^5</f>
        <v>1700000</v>
      </c>
      <c r="D17">
        <f t="shared" si="0"/>
        <v>6.8000000000000005E-2</v>
      </c>
      <c r="E17" t="s">
        <v>5</v>
      </c>
    </row>
    <row r="18" spans="1:5" x14ac:dyDescent="0.4">
      <c r="A18" t="s">
        <v>11</v>
      </c>
      <c r="B18">
        <f>16*10^6</f>
        <v>16000000</v>
      </c>
      <c r="C18">
        <f>5*10^6</f>
        <v>5000000</v>
      </c>
      <c r="D18">
        <f t="shared" si="0"/>
        <v>0.3125</v>
      </c>
      <c r="E18" t="s">
        <v>5</v>
      </c>
    </row>
    <row r="19" spans="1:5" x14ac:dyDescent="0.4">
      <c r="A19" t="s">
        <v>11</v>
      </c>
      <c r="B19">
        <f>3*10^7</f>
        <v>30000000</v>
      </c>
      <c r="C19">
        <f>16*10^6</f>
        <v>16000000</v>
      </c>
      <c r="D19">
        <f t="shared" si="0"/>
        <v>0.53333333333333333</v>
      </c>
      <c r="E19" t="s">
        <v>5</v>
      </c>
    </row>
    <row r="20" spans="1:5" x14ac:dyDescent="0.4">
      <c r="A20" t="s">
        <v>12</v>
      </c>
      <c r="B20">
        <f>41*10^6</f>
        <v>41000000</v>
      </c>
      <c r="C20">
        <f>4*10^3</f>
        <v>4000</v>
      </c>
      <c r="D20">
        <f t="shared" si="0"/>
        <v>9.7560975609756103E-5</v>
      </c>
      <c r="E20" t="s">
        <v>5</v>
      </c>
    </row>
    <row r="21" spans="1:5" x14ac:dyDescent="0.4">
      <c r="A21" t="s">
        <v>12</v>
      </c>
      <c r="B21">
        <f>34*10^6</f>
        <v>34000000</v>
      </c>
      <c r="C21">
        <f>3*10^3</f>
        <v>3000</v>
      </c>
      <c r="D21">
        <f t="shared" si="0"/>
        <v>8.8235294117647065E-5</v>
      </c>
      <c r="E21" t="s">
        <v>5</v>
      </c>
    </row>
    <row r="22" spans="1:5" x14ac:dyDescent="0.4">
      <c r="A22" t="s">
        <v>12</v>
      </c>
      <c r="B22">
        <f>26*10^6</f>
        <v>26000000</v>
      </c>
      <c r="C22">
        <f>1300</f>
        <v>1300</v>
      </c>
      <c r="D22">
        <f t="shared" si="0"/>
        <v>5.0000000000000002E-5</v>
      </c>
      <c r="E22" t="s">
        <v>5</v>
      </c>
    </row>
    <row r="23" spans="1:5" x14ac:dyDescent="0.4">
      <c r="A23" t="s">
        <v>13</v>
      </c>
      <c r="B23">
        <f>32*10^6</f>
        <v>32000000</v>
      </c>
      <c r="C23">
        <v>150</v>
      </c>
      <c r="D23">
        <f t="shared" si="0"/>
        <v>4.6874999999999996E-6</v>
      </c>
      <c r="E23" t="s">
        <v>5</v>
      </c>
    </row>
    <row r="24" spans="1:5" x14ac:dyDescent="0.4">
      <c r="A24" t="s">
        <v>13</v>
      </c>
      <c r="B24">
        <f>3*10^7</f>
        <v>30000000</v>
      </c>
      <c r="C24">
        <v>260</v>
      </c>
      <c r="D24">
        <f t="shared" si="0"/>
        <v>8.6666666666666661E-6</v>
      </c>
      <c r="E24" t="s">
        <v>5</v>
      </c>
    </row>
    <row r="25" spans="1:5" x14ac:dyDescent="0.4">
      <c r="A25" t="s">
        <v>13</v>
      </c>
      <c r="B25">
        <f>4*10^7</f>
        <v>40000000</v>
      </c>
      <c r="C25">
        <v>130</v>
      </c>
      <c r="D25">
        <f t="shared" si="0"/>
        <v>3.2499999999999998E-6</v>
      </c>
      <c r="E25" t="s">
        <v>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40E2-6DEC-4397-87CC-B103FCEA9585}">
  <dimension ref="A1:E25"/>
  <sheetViews>
    <sheetView workbookViewId="0">
      <selection activeCell="H12" sqref="H12"/>
    </sheetView>
  </sheetViews>
  <sheetFormatPr defaultRowHeight="17.399999999999999" x14ac:dyDescent="0.4"/>
  <cols>
    <col min="2" max="2" width="10.3984375" bestFit="1" customWidth="1"/>
  </cols>
  <sheetData>
    <row r="1" spans="1:5" x14ac:dyDescent="0.4">
      <c r="A1" t="s">
        <v>2</v>
      </c>
      <c r="B1" t="s">
        <v>14</v>
      </c>
      <c r="C1" t="s">
        <v>15</v>
      </c>
      <c r="D1" t="s">
        <v>1</v>
      </c>
      <c r="E1" t="s">
        <v>3</v>
      </c>
    </row>
    <row r="2" spans="1:5" x14ac:dyDescent="0.4">
      <c r="A2" t="s">
        <v>7</v>
      </c>
      <c r="B2">
        <f>6*10^6</f>
        <v>6000000</v>
      </c>
      <c r="C2">
        <v>6</v>
      </c>
      <c r="D2">
        <f>C2/B2</f>
        <v>9.9999999999999995E-7</v>
      </c>
      <c r="E2" t="s">
        <v>18</v>
      </c>
    </row>
    <row r="3" spans="1:5" x14ac:dyDescent="0.4">
      <c r="A3" t="s">
        <v>7</v>
      </c>
      <c r="B3">
        <f>14*10^6</f>
        <v>14000000</v>
      </c>
      <c r="C3">
        <v>6</v>
      </c>
      <c r="D3">
        <f t="shared" ref="D3:D25" si="0">C3/B3</f>
        <v>4.2857142857142857E-7</v>
      </c>
      <c r="E3" t="s">
        <v>18</v>
      </c>
    </row>
    <row r="4" spans="1:5" x14ac:dyDescent="0.4">
      <c r="A4" t="s">
        <v>7</v>
      </c>
      <c r="B4">
        <f>12*10^6</f>
        <v>12000000</v>
      </c>
      <c r="C4">
        <v>3</v>
      </c>
      <c r="D4">
        <f t="shared" si="0"/>
        <v>2.4999999999999999E-7</v>
      </c>
      <c r="E4" t="s">
        <v>18</v>
      </c>
    </row>
    <row r="5" spans="1:5" x14ac:dyDescent="0.4">
      <c r="A5" t="s">
        <v>8</v>
      </c>
      <c r="B5">
        <f>17*10^6</f>
        <v>17000000</v>
      </c>
      <c r="C5">
        <v>9</v>
      </c>
      <c r="D5">
        <f t="shared" si="0"/>
        <v>5.2941176470588239E-7</v>
      </c>
      <c r="E5" t="s">
        <v>18</v>
      </c>
    </row>
    <row r="6" spans="1:5" x14ac:dyDescent="0.4">
      <c r="A6" t="s">
        <v>8</v>
      </c>
      <c r="B6">
        <f>14*10^6</f>
        <v>14000000</v>
      </c>
      <c r="C6">
        <v>8</v>
      </c>
      <c r="D6">
        <f t="shared" si="0"/>
        <v>5.7142857142857139E-7</v>
      </c>
      <c r="E6" t="s">
        <v>18</v>
      </c>
    </row>
    <row r="7" spans="1:5" x14ac:dyDescent="0.4">
      <c r="A7" t="s">
        <v>8</v>
      </c>
      <c r="B7">
        <f>16*10^6</f>
        <v>16000000</v>
      </c>
      <c r="C7">
        <v>12</v>
      </c>
      <c r="D7">
        <f t="shared" si="0"/>
        <v>7.5000000000000002E-7</v>
      </c>
      <c r="E7" t="s">
        <v>18</v>
      </c>
    </row>
    <row r="8" spans="1:5" x14ac:dyDescent="0.4">
      <c r="A8" t="s">
        <v>17</v>
      </c>
      <c r="B8">
        <f>14*10^6</f>
        <v>14000000</v>
      </c>
      <c r="C8">
        <v>8</v>
      </c>
      <c r="D8">
        <f t="shared" si="0"/>
        <v>5.7142857142857139E-7</v>
      </c>
      <c r="E8" t="s">
        <v>18</v>
      </c>
    </row>
    <row r="9" spans="1:5" x14ac:dyDescent="0.4">
      <c r="A9" t="s">
        <v>17</v>
      </c>
      <c r="B9">
        <f>11*10^6</f>
        <v>11000000</v>
      </c>
      <c r="C9">
        <v>8</v>
      </c>
      <c r="D9">
        <f t="shared" si="0"/>
        <v>7.2727272727272732E-7</v>
      </c>
      <c r="E9" t="s">
        <v>18</v>
      </c>
    </row>
    <row r="10" spans="1:5" x14ac:dyDescent="0.4">
      <c r="A10" t="s">
        <v>17</v>
      </c>
      <c r="B10">
        <f>8*10^6</f>
        <v>8000000</v>
      </c>
      <c r="C10">
        <v>6</v>
      </c>
      <c r="D10">
        <f t="shared" si="0"/>
        <v>7.5000000000000002E-7</v>
      </c>
      <c r="E10" t="s">
        <v>18</v>
      </c>
    </row>
    <row r="11" spans="1:5" x14ac:dyDescent="0.4">
      <c r="A11" t="s">
        <v>9</v>
      </c>
      <c r="B11">
        <f>13*10^6</f>
        <v>13000000</v>
      </c>
      <c r="C11">
        <v>8</v>
      </c>
      <c r="D11">
        <f t="shared" si="0"/>
        <v>6.1538461538461538E-7</v>
      </c>
      <c r="E11" t="s">
        <v>18</v>
      </c>
    </row>
    <row r="12" spans="1:5" x14ac:dyDescent="0.4">
      <c r="A12" t="s">
        <v>9</v>
      </c>
      <c r="B12">
        <f>12*10^6</f>
        <v>12000000</v>
      </c>
      <c r="C12">
        <v>12</v>
      </c>
      <c r="D12">
        <f t="shared" si="0"/>
        <v>9.9999999999999995E-7</v>
      </c>
      <c r="E12" t="s">
        <v>18</v>
      </c>
    </row>
    <row r="13" spans="1:5" x14ac:dyDescent="0.4">
      <c r="A13" t="s">
        <v>9</v>
      </c>
      <c r="B13">
        <f>11*10^6</f>
        <v>11000000</v>
      </c>
      <c r="C13">
        <v>13</v>
      </c>
      <c r="D13">
        <f t="shared" si="0"/>
        <v>1.1818181818181818E-6</v>
      </c>
      <c r="E13" t="s">
        <v>18</v>
      </c>
    </row>
    <row r="14" spans="1:5" x14ac:dyDescent="0.4">
      <c r="A14" t="s">
        <v>10</v>
      </c>
      <c r="B14">
        <f>13*10^6</f>
        <v>13000000</v>
      </c>
      <c r="C14">
        <v>7</v>
      </c>
      <c r="D14">
        <f t="shared" si="0"/>
        <v>5.3846153846153845E-7</v>
      </c>
      <c r="E14" t="s">
        <v>18</v>
      </c>
    </row>
    <row r="15" spans="1:5" x14ac:dyDescent="0.4">
      <c r="A15" t="s">
        <v>10</v>
      </c>
      <c r="B15">
        <f>11*10^6</f>
        <v>11000000</v>
      </c>
      <c r="C15">
        <v>10</v>
      </c>
      <c r="D15">
        <f t="shared" si="0"/>
        <v>9.0909090909090904E-7</v>
      </c>
      <c r="E15" t="s">
        <v>18</v>
      </c>
    </row>
    <row r="16" spans="1:5" x14ac:dyDescent="0.4">
      <c r="A16" t="s">
        <v>10</v>
      </c>
      <c r="B16">
        <f>30*10^6</f>
        <v>30000000</v>
      </c>
      <c r="C16">
        <v>3</v>
      </c>
      <c r="D16">
        <f t="shared" si="0"/>
        <v>9.9999999999999995E-8</v>
      </c>
      <c r="E16" t="s">
        <v>18</v>
      </c>
    </row>
    <row r="17" spans="1:5" x14ac:dyDescent="0.4">
      <c r="A17" t="s">
        <v>11</v>
      </c>
      <c r="B17">
        <f>6*10^6</f>
        <v>6000000</v>
      </c>
      <c r="C17">
        <v>4</v>
      </c>
      <c r="D17">
        <f t="shared" si="0"/>
        <v>6.6666666666666671E-7</v>
      </c>
      <c r="E17" t="s">
        <v>18</v>
      </c>
    </row>
    <row r="18" spans="1:5" x14ac:dyDescent="0.4">
      <c r="A18" t="s">
        <v>11</v>
      </c>
      <c r="B18">
        <f>12*10^6</f>
        <v>12000000</v>
      </c>
      <c r="C18">
        <v>9</v>
      </c>
      <c r="D18">
        <f t="shared" si="0"/>
        <v>7.5000000000000002E-7</v>
      </c>
      <c r="E18" t="s">
        <v>18</v>
      </c>
    </row>
    <row r="19" spans="1:5" x14ac:dyDescent="0.4">
      <c r="A19" t="s">
        <v>11</v>
      </c>
      <c r="B19">
        <f>14*10^6</f>
        <v>14000000</v>
      </c>
      <c r="C19">
        <v>2</v>
      </c>
      <c r="D19">
        <f t="shared" si="0"/>
        <v>1.4285714285714285E-7</v>
      </c>
      <c r="E19" t="s">
        <v>18</v>
      </c>
    </row>
    <row r="20" spans="1:5" x14ac:dyDescent="0.4">
      <c r="A20" t="s">
        <v>12</v>
      </c>
      <c r="B20">
        <f>46*10^7</f>
        <v>460000000</v>
      </c>
      <c r="C20">
        <v>6</v>
      </c>
      <c r="D20">
        <f t="shared" si="0"/>
        <v>1.3043478260869566E-8</v>
      </c>
      <c r="E20" t="s">
        <v>18</v>
      </c>
    </row>
    <row r="21" spans="1:5" x14ac:dyDescent="0.4">
      <c r="A21" t="s">
        <v>12</v>
      </c>
      <c r="B21">
        <f>13*10^6</f>
        <v>13000000</v>
      </c>
      <c r="C21">
        <v>3</v>
      </c>
      <c r="D21">
        <f t="shared" si="0"/>
        <v>2.3076923076923078E-7</v>
      </c>
      <c r="E21" t="s">
        <v>18</v>
      </c>
    </row>
    <row r="22" spans="1:5" x14ac:dyDescent="0.4">
      <c r="A22" t="s">
        <v>12</v>
      </c>
      <c r="B22">
        <f>14*10^6</f>
        <v>14000000</v>
      </c>
      <c r="C22">
        <v>6</v>
      </c>
      <c r="D22">
        <f t="shared" si="0"/>
        <v>4.2857142857142857E-7</v>
      </c>
      <c r="E22" t="s">
        <v>18</v>
      </c>
    </row>
    <row r="23" spans="1:5" x14ac:dyDescent="0.4">
      <c r="A23" t="s">
        <v>13</v>
      </c>
      <c r="B23">
        <f>4*10^7</f>
        <v>40000000</v>
      </c>
      <c r="C23">
        <v>16</v>
      </c>
      <c r="D23">
        <f t="shared" si="0"/>
        <v>3.9999999999999998E-7</v>
      </c>
      <c r="E23" t="s">
        <v>18</v>
      </c>
    </row>
    <row r="24" spans="1:5" x14ac:dyDescent="0.4">
      <c r="A24" t="s">
        <v>13</v>
      </c>
      <c r="B24">
        <f>19*10^6</f>
        <v>19000000</v>
      </c>
      <c r="C24">
        <v>13</v>
      </c>
      <c r="D24">
        <f t="shared" si="0"/>
        <v>6.8421052631578946E-7</v>
      </c>
      <c r="E24" t="s">
        <v>18</v>
      </c>
    </row>
    <row r="25" spans="1:5" x14ac:dyDescent="0.4">
      <c r="A25" t="s">
        <v>13</v>
      </c>
      <c r="B25">
        <f>23*10^6</f>
        <v>23000000</v>
      </c>
      <c r="C25">
        <v>5</v>
      </c>
      <c r="D25">
        <f t="shared" si="0"/>
        <v>2.1739130434782609E-7</v>
      </c>
      <c r="E25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Suppression summary_PCPA</vt:lpstr>
      <vt:lpstr>PCPA_cycle0</vt:lpstr>
      <vt:lpstr>PCPA_cycle4</vt:lpstr>
      <vt:lpstr>Suppression summary_Rif</vt:lpstr>
      <vt:lpstr>Rifampicin_cycle4</vt:lpstr>
      <vt:lpstr>Rifampicin_cycle0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chanwoo lee</dc:creator>
  <cp:lastModifiedBy>Chanwoo Lee</cp:lastModifiedBy>
  <dcterms:created xsi:type="dcterms:W3CDTF">2022-10-26T04:23:47Z</dcterms:created>
  <dcterms:modified xsi:type="dcterms:W3CDTF">2025-08-28T07:44:12Z</dcterms:modified>
</cp:coreProperties>
</file>