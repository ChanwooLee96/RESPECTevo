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6c92d0988cb4a1/5. Paper work/CRISPR cascade complex/Code and data/2_Plotting_Statistics/3_Suppressor_frequency/rawdata_zip/"/>
    </mc:Choice>
  </mc:AlternateContent>
  <xr:revisionPtr revIDLastSave="1838" documentId="8_{549ECEC6-160E-4653-A2A8-011F54EC70A7}" xr6:coauthVersionLast="47" xr6:coauthVersionMax="47" xr10:uidLastSave="{6296EE0B-25D5-433E-83B0-AC45700FE181}"/>
  <bookViews>
    <workbookView xWindow="3540" yWindow="2712" windowWidth="21600" windowHeight="13560" activeTab="1" xr2:uid="{C745A869-6D68-4B8E-8E2E-0DF65F7D14EC}"/>
  </bookViews>
  <sheets>
    <sheet name="suppression summary" sheetId="4" r:id="rId1"/>
    <sheet name="counting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" i="13" l="1"/>
  <c r="D71" i="13" s="1"/>
  <c r="B70" i="13"/>
  <c r="D70" i="13" s="1"/>
  <c r="D69" i="13"/>
  <c r="B69" i="13"/>
  <c r="C68" i="13"/>
  <c r="D68" i="13" s="1"/>
  <c r="B68" i="13"/>
  <c r="C67" i="13"/>
  <c r="B67" i="13"/>
  <c r="D67" i="13" s="1"/>
  <c r="D66" i="13"/>
  <c r="C66" i="13"/>
  <c r="B66" i="13"/>
  <c r="D65" i="13"/>
  <c r="C65" i="13"/>
  <c r="B65" i="13"/>
  <c r="C64" i="13"/>
  <c r="D64" i="13" s="1"/>
  <c r="B64" i="13"/>
  <c r="C63" i="13"/>
  <c r="D63" i="13" s="1"/>
  <c r="B63" i="13"/>
  <c r="C62" i="13"/>
  <c r="D62" i="13" s="1"/>
  <c r="B62" i="13"/>
  <c r="C61" i="13"/>
  <c r="D61" i="13" s="1"/>
  <c r="B61" i="13"/>
  <c r="C60" i="13"/>
  <c r="D60" i="13" s="1"/>
  <c r="B60" i="13"/>
  <c r="C59" i="13"/>
  <c r="B59" i="13"/>
  <c r="D59" i="13" s="1"/>
  <c r="D58" i="13"/>
  <c r="C58" i="13"/>
  <c r="B58" i="13"/>
  <c r="D57" i="13"/>
  <c r="C57" i="13"/>
  <c r="B57" i="13"/>
  <c r="C56" i="13"/>
  <c r="D56" i="13" s="1"/>
  <c r="B56" i="13"/>
  <c r="C55" i="13"/>
  <c r="D55" i="13" s="1"/>
  <c r="B55" i="13"/>
  <c r="C54" i="13"/>
  <c r="D54" i="13" s="1"/>
  <c r="B54" i="13"/>
  <c r="C53" i="13"/>
  <c r="D53" i="13" s="1"/>
  <c r="B53" i="13"/>
  <c r="C52" i="13"/>
  <c r="D52" i="13" s="1"/>
  <c r="B52" i="13"/>
  <c r="C51" i="13"/>
  <c r="B51" i="13"/>
  <c r="D51" i="13" s="1"/>
  <c r="B50" i="13"/>
  <c r="D50" i="13" s="1"/>
  <c r="D49" i="13"/>
  <c r="B49" i="13"/>
  <c r="D48" i="13"/>
  <c r="B48" i="13"/>
  <c r="C47" i="13"/>
  <c r="D47" i="13" s="1"/>
  <c r="B47" i="13"/>
  <c r="C46" i="13"/>
  <c r="D46" i="13" s="1"/>
  <c r="B46" i="13"/>
  <c r="C45" i="13"/>
  <c r="B45" i="13"/>
  <c r="D45" i="13" s="1"/>
  <c r="D44" i="13"/>
  <c r="C44" i="13"/>
  <c r="B44" i="13"/>
  <c r="C43" i="13"/>
  <c r="B43" i="13"/>
  <c r="D43" i="13" s="1"/>
  <c r="C42" i="13"/>
  <c r="D42" i="13" s="1"/>
  <c r="B42" i="13"/>
  <c r="C41" i="13"/>
  <c r="D41" i="13" s="1"/>
  <c r="B41" i="13"/>
  <c r="C40" i="13"/>
  <c r="D40" i="13" s="1"/>
  <c r="B40" i="13"/>
  <c r="C39" i="13"/>
  <c r="D39" i="13" s="1"/>
  <c r="B39" i="13"/>
  <c r="C38" i="13"/>
  <c r="D38" i="13" s="1"/>
  <c r="B38" i="13"/>
  <c r="C37" i="13"/>
  <c r="B37" i="13"/>
  <c r="D37" i="13" s="1"/>
  <c r="D36" i="13"/>
  <c r="C36" i="13"/>
  <c r="B36" i="13"/>
  <c r="C35" i="13"/>
  <c r="B35" i="13"/>
  <c r="D35" i="13" s="1"/>
  <c r="C34" i="13"/>
  <c r="D34" i="13" s="1"/>
  <c r="B34" i="13"/>
  <c r="C33" i="13"/>
  <c r="D33" i="13" s="1"/>
  <c r="B33" i="13"/>
  <c r="C32" i="13"/>
  <c r="D32" i="13" s="1"/>
  <c r="B32" i="13"/>
  <c r="C31" i="13"/>
  <c r="D31" i="13" s="1"/>
  <c r="B31" i="13"/>
  <c r="C30" i="13"/>
  <c r="D30" i="13" s="1"/>
  <c r="B30" i="13"/>
  <c r="B29" i="13"/>
  <c r="D29" i="13" s="1"/>
  <c r="B28" i="13"/>
  <c r="D28" i="13" s="1"/>
  <c r="D27" i="13"/>
  <c r="C27" i="13"/>
  <c r="B27" i="13"/>
  <c r="D26" i="13"/>
  <c r="C26" i="13"/>
  <c r="B26" i="13"/>
  <c r="C25" i="13"/>
  <c r="D25" i="13" s="1"/>
  <c r="B25" i="13"/>
  <c r="C24" i="13"/>
  <c r="D24" i="13" s="1"/>
  <c r="B24" i="13"/>
  <c r="C23" i="13"/>
  <c r="D23" i="13" s="1"/>
  <c r="B23" i="13"/>
  <c r="C22" i="13"/>
  <c r="D22" i="13" s="1"/>
  <c r="B22" i="13"/>
  <c r="C21" i="13"/>
  <c r="D21" i="13" s="1"/>
  <c r="B21" i="13"/>
  <c r="C20" i="13"/>
  <c r="B20" i="13"/>
  <c r="D20" i="13" s="1"/>
  <c r="C19" i="13"/>
  <c r="B19" i="13"/>
  <c r="D19" i="13" s="1"/>
  <c r="D18" i="13"/>
  <c r="C18" i="13"/>
  <c r="B18" i="13"/>
  <c r="C17" i="13"/>
  <c r="D17" i="13" s="1"/>
  <c r="B17" i="13"/>
  <c r="C16" i="13"/>
  <c r="D16" i="13" s="1"/>
  <c r="B16" i="13"/>
  <c r="C15" i="13"/>
  <c r="D15" i="13" s="1"/>
  <c r="B15" i="13"/>
  <c r="C14" i="13"/>
  <c r="D14" i="13" s="1"/>
  <c r="B14" i="13"/>
  <c r="C13" i="13"/>
  <c r="D13" i="13" s="1"/>
  <c r="B13" i="13"/>
  <c r="D12" i="13"/>
  <c r="C12" i="13"/>
  <c r="B12" i="13"/>
  <c r="C11" i="13"/>
  <c r="B11" i="13"/>
  <c r="D11" i="13" s="1"/>
  <c r="D10" i="13"/>
  <c r="C10" i="13"/>
  <c r="B10" i="13"/>
  <c r="C9" i="13"/>
  <c r="D9" i="13" s="1"/>
  <c r="B9" i="13"/>
  <c r="D8" i="13"/>
  <c r="D7" i="13"/>
  <c r="D6" i="13"/>
  <c r="D5" i="13"/>
  <c r="D4" i="13"/>
  <c r="D3" i="13"/>
  <c r="D2" i="13"/>
  <c r="B8" i="13"/>
  <c r="B2" i="13"/>
  <c r="B7" i="13"/>
  <c r="B6" i="13"/>
  <c r="B5" i="13"/>
  <c r="B4" i="13"/>
  <c r="B3" i="13"/>
  <c r="C3" i="13"/>
</calcChain>
</file>

<file path=xl/sharedStrings.xml><?xml version="1.0" encoding="utf-8"?>
<sst xmlns="http://schemas.openxmlformats.org/spreadsheetml/2006/main" count="288" uniqueCount="18">
  <si>
    <t>PCP</t>
    <phoneticPr fontId="1" type="noConversion"/>
  </si>
  <si>
    <t>YEG</t>
    <phoneticPr fontId="1" type="noConversion"/>
  </si>
  <si>
    <t>Suppression</t>
    <phoneticPr fontId="1" type="noConversion"/>
  </si>
  <si>
    <t>Suppression rate</t>
    <phoneticPr fontId="1" type="noConversion"/>
  </si>
  <si>
    <t>Spacer</t>
    <phoneticPr fontId="1" type="noConversion"/>
  </si>
  <si>
    <t>Cycle</t>
    <phoneticPr fontId="1" type="noConversion"/>
  </si>
  <si>
    <t>Spacer</t>
  </si>
  <si>
    <t>Cycle1</t>
    <phoneticPr fontId="1" type="noConversion"/>
  </si>
  <si>
    <t>Cycle2</t>
    <phoneticPr fontId="1" type="noConversion"/>
  </si>
  <si>
    <t>Cycle4</t>
    <phoneticPr fontId="1" type="noConversion"/>
  </si>
  <si>
    <t>Cycle0</t>
    <phoneticPr fontId="1" type="noConversion"/>
  </si>
  <si>
    <t>mismatch+4</t>
  </si>
  <si>
    <t>mismatch+34</t>
  </si>
  <si>
    <t>mismatch+34+70</t>
  </si>
  <si>
    <t>mismatch+70</t>
  </si>
  <si>
    <t>mismatch+34to39</t>
  </si>
  <si>
    <t>no mismatch</t>
  </si>
  <si>
    <t>no crRNA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</si>
</sst>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41E7-CBBC-4F23-A933-E26A12F80D87}">
  <dimension ref="A1:C71"/>
  <sheetViews>
    <sheetView workbookViewId="0">
      <selection activeCell="A71" sqref="A2:A71"/>
    </sheetView>
  </sheetViews>
  <sheetFormatPr defaultRowHeight="17.399999999999999" x14ac:dyDescent="0.4"/>
  <cols>
    <col min="1" max="1" width="12.69921875" bestFit="1" customWidth="1"/>
    <col min="2" max="2" width="15.3984375" bestFit="1" customWidth="1"/>
  </cols>
  <sheetData>
    <row r="1" spans="1:3" x14ac:dyDescent="0.4">
      <c r="A1" t="s">
        <v>6</v>
      </c>
      <c r="B1" t="s">
        <v>3</v>
      </c>
      <c r="C1" t="s">
        <v>5</v>
      </c>
    </row>
    <row r="2" spans="1:3" x14ac:dyDescent="0.4">
      <c r="A2" t="s">
        <v>16</v>
      </c>
      <c r="B2">
        <v>3.0000000000000001E-5</v>
      </c>
      <c r="C2" t="s">
        <v>10</v>
      </c>
    </row>
    <row r="3" spans="1:3" x14ac:dyDescent="0.4">
      <c r="A3" t="s">
        <v>11</v>
      </c>
      <c r="B3">
        <v>2.8E-5</v>
      </c>
      <c r="C3" t="s">
        <v>10</v>
      </c>
    </row>
    <row r="4" spans="1:3" x14ac:dyDescent="0.4">
      <c r="A4" t="s">
        <v>12</v>
      </c>
      <c r="B4">
        <v>2.0000000000000002E-5</v>
      </c>
      <c r="C4" t="s">
        <v>10</v>
      </c>
    </row>
    <row r="5" spans="1:3" x14ac:dyDescent="0.4">
      <c r="A5" t="s">
        <v>14</v>
      </c>
      <c r="B5">
        <v>2.4615384615384614E-4</v>
      </c>
      <c r="C5" t="s">
        <v>10</v>
      </c>
    </row>
    <row r="6" spans="1:3" x14ac:dyDescent="0.4">
      <c r="A6" t="s">
        <v>15</v>
      </c>
      <c r="B6">
        <v>4.0000000000000003E-5</v>
      </c>
      <c r="C6" t="s">
        <v>10</v>
      </c>
    </row>
    <row r="7" spans="1:3" x14ac:dyDescent="0.4">
      <c r="A7" t="s">
        <v>13</v>
      </c>
      <c r="B7">
        <v>3.8709677419354842E-5</v>
      </c>
      <c r="C7" t="s">
        <v>10</v>
      </c>
    </row>
    <row r="8" spans="1:3" x14ac:dyDescent="0.4">
      <c r="A8" t="s">
        <v>17</v>
      </c>
      <c r="B8">
        <v>4.0000000000000003E-5</v>
      </c>
      <c r="C8" t="s">
        <v>10</v>
      </c>
    </row>
    <row r="9" spans="1:3" x14ac:dyDescent="0.4">
      <c r="A9" t="s">
        <v>16</v>
      </c>
      <c r="B9">
        <v>0.02</v>
      </c>
      <c r="C9" t="s">
        <v>7</v>
      </c>
    </row>
    <row r="10" spans="1:3" x14ac:dyDescent="0.4">
      <c r="A10" t="s">
        <v>16</v>
      </c>
      <c r="B10">
        <v>0.04</v>
      </c>
      <c r="C10" t="s">
        <v>7</v>
      </c>
    </row>
    <row r="11" spans="1:3" x14ac:dyDescent="0.4">
      <c r="A11" t="s">
        <v>16</v>
      </c>
      <c r="B11">
        <v>2.3529411764705882E-2</v>
      </c>
      <c r="C11" t="s">
        <v>7</v>
      </c>
    </row>
    <row r="12" spans="1:3" x14ac:dyDescent="0.4">
      <c r="A12" t="s">
        <v>11</v>
      </c>
      <c r="B12">
        <v>5.0000000000000001E-3</v>
      </c>
      <c r="C12" t="s">
        <v>7</v>
      </c>
    </row>
    <row r="13" spans="1:3" x14ac:dyDescent="0.4">
      <c r="A13" t="s">
        <v>11</v>
      </c>
      <c r="B13">
        <v>7.058823529411765E-3</v>
      </c>
      <c r="C13" t="s">
        <v>7</v>
      </c>
    </row>
    <row r="14" spans="1:3" x14ac:dyDescent="0.4">
      <c r="A14" t="s">
        <v>11</v>
      </c>
      <c r="B14">
        <v>0.01</v>
      </c>
      <c r="C14" t="s">
        <v>7</v>
      </c>
    </row>
    <row r="15" spans="1:3" x14ac:dyDescent="0.4">
      <c r="A15" t="s">
        <v>12</v>
      </c>
      <c r="B15">
        <v>0.14285714285714285</v>
      </c>
      <c r="C15" t="s">
        <v>7</v>
      </c>
    </row>
    <row r="16" spans="1:3" x14ac:dyDescent="0.4">
      <c r="A16" t="s">
        <v>12</v>
      </c>
      <c r="B16">
        <v>2.2499999999999999E-2</v>
      </c>
      <c r="C16" t="s">
        <v>7</v>
      </c>
    </row>
    <row r="17" spans="1:3" x14ac:dyDescent="0.4">
      <c r="A17" t="s">
        <v>12</v>
      </c>
      <c r="B17">
        <v>0.03</v>
      </c>
      <c r="C17" t="s">
        <v>7</v>
      </c>
    </row>
    <row r="18" spans="1:3" x14ac:dyDescent="0.4">
      <c r="A18" t="s">
        <v>14</v>
      </c>
      <c r="B18">
        <v>3.5714285714285712E-2</v>
      </c>
      <c r="C18" t="s">
        <v>7</v>
      </c>
    </row>
    <row r="19" spans="1:3" x14ac:dyDescent="0.4">
      <c r="A19" t="s">
        <v>14</v>
      </c>
      <c r="B19">
        <v>0.05</v>
      </c>
      <c r="C19" t="s">
        <v>7</v>
      </c>
    </row>
    <row r="20" spans="1:3" x14ac:dyDescent="0.4">
      <c r="A20" t="s">
        <v>14</v>
      </c>
      <c r="B20">
        <v>7.4999999999999997E-2</v>
      </c>
      <c r="C20" t="s">
        <v>7</v>
      </c>
    </row>
    <row r="21" spans="1:3" x14ac:dyDescent="0.4">
      <c r="A21" t="s">
        <v>15</v>
      </c>
      <c r="B21">
        <v>3.3333333333333333E-2</v>
      </c>
      <c r="C21" t="s">
        <v>7</v>
      </c>
    </row>
    <row r="22" spans="1:3" x14ac:dyDescent="0.4">
      <c r="A22" t="s">
        <v>15</v>
      </c>
      <c r="B22">
        <v>2.5000000000000001E-2</v>
      </c>
      <c r="C22" t="s">
        <v>7</v>
      </c>
    </row>
    <row r="23" spans="1:3" x14ac:dyDescent="0.4">
      <c r="A23" t="s">
        <v>15</v>
      </c>
      <c r="B23">
        <v>6.2500000000000003E-3</v>
      </c>
      <c r="C23" t="s">
        <v>7</v>
      </c>
    </row>
    <row r="24" spans="1:3" x14ac:dyDescent="0.4">
      <c r="A24" t="s">
        <v>13</v>
      </c>
      <c r="B24">
        <v>3.5000000000000003E-2</v>
      </c>
      <c r="C24" t="s">
        <v>7</v>
      </c>
    </row>
    <row r="25" spans="1:3" x14ac:dyDescent="0.4">
      <c r="A25" t="s">
        <v>13</v>
      </c>
      <c r="B25">
        <v>1.7999999999999999E-2</v>
      </c>
      <c r="C25" t="s">
        <v>7</v>
      </c>
    </row>
    <row r="26" spans="1:3" x14ac:dyDescent="0.4">
      <c r="A26" t="s">
        <v>13</v>
      </c>
      <c r="B26">
        <v>3.3333333333333333E-2</v>
      </c>
      <c r="C26" t="s">
        <v>7</v>
      </c>
    </row>
    <row r="27" spans="1:3" x14ac:dyDescent="0.4">
      <c r="A27" t="s">
        <v>17</v>
      </c>
      <c r="B27">
        <v>1.4999999999999999E-4</v>
      </c>
      <c r="C27" t="s">
        <v>7</v>
      </c>
    </row>
    <row r="28" spans="1:3" x14ac:dyDescent="0.4">
      <c r="A28" t="s">
        <v>17</v>
      </c>
      <c r="B28">
        <v>1.4999999999999999E-4</v>
      </c>
      <c r="C28" t="s">
        <v>7</v>
      </c>
    </row>
    <row r="29" spans="1:3" x14ac:dyDescent="0.4">
      <c r="A29" t="s">
        <v>17</v>
      </c>
      <c r="B29">
        <v>2.9999999999999997E-4</v>
      </c>
      <c r="C29" t="s">
        <v>7</v>
      </c>
    </row>
    <row r="30" spans="1:3" x14ac:dyDescent="0.4">
      <c r="A30" t="s">
        <v>16</v>
      </c>
      <c r="B30">
        <v>6.6666666666666666E-2</v>
      </c>
      <c r="C30" t="s">
        <v>8</v>
      </c>
    </row>
    <row r="31" spans="1:3" x14ac:dyDescent="0.4">
      <c r="A31" t="s">
        <v>16</v>
      </c>
      <c r="B31">
        <v>1.4285714285714285E-2</v>
      </c>
      <c r="C31" t="s">
        <v>8</v>
      </c>
    </row>
    <row r="32" spans="1:3" x14ac:dyDescent="0.4">
      <c r="A32" t="s">
        <v>16</v>
      </c>
      <c r="B32">
        <v>2.5000000000000001E-2</v>
      </c>
      <c r="C32" t="s">
        <v>8</v>
      </c>
    </row>
    <row r="33" spans="1:3" x14ac:dyDescent="0.4">
      <c r="A33" t="s">
        <v>11</v>
      </c>
      <c r="B33">
        <v>1.176470588235294E-3</v>
      </c>
      <c r="C33" t="s">
        <v>8</v>
      </c>
    </row>
    <row r="34" spans="1:3" x14ac:dyDescent="0.4">
      <c r="A34" t="s">
        <v>11</v>
      </c>
      <c r="B34">
        <v>2.7272727272727275E-3</v>
      </c>
      <c r="C34" t="s">
        <v>8</v>
      </c>
    </row>
    <row r="35" spans="1:3" x14ac:dyDescent="0.4">
      <c r="A35" t="s">
        <v>11</v>
      </c>
      <c r="B35">
        <v>7.4999999999999997E-3</v>
      </c>
      <c r="C35" t="s">
        <v>8</v>
      </c>
    </row>
    <row r="36" spans="1:3" x14ac:dyDescent="0.4">
      <c r="A36" t="s">
        <v>12</v>
      </c>
      <c r="B36">
        <v>5.2499999999999998E-2</v>
      </c>
      <c r="C36" t="s">
        <v>8</v>
      </c>
    </row>
    <row r="37" spans="1:3" x14ac:dyDescent="0.4">
      <c r="A37" t="s">
        <v>12</v>
      </c>
      <c r="B37">
        <v>2.75E-2</v>
      </c>
      <c r="C37" t="s">
        <v>8</v>
      </c>
    </row>
    <row r="38" spans="1:3" x14ac:dyDescent="0.4">
      <c r="A38" t="s">
        <v>12</v>
      </c>
      <c r="B38">
        <v>1.6666666666666666E-2</v>
      </c>
      <c r="C38" t="s">
        <v>8</v>
      </c>
    </row>
    <row r="39" spans="1:3" x14ac:dyDescent="0.4">
      <c r="A39" t="s">
        <v>14</v>
      </c>
      <c r="B39">
        <v>0.1</v>
      </c>
      <c r="C39" t="s">
        <v>8</v>
      </c>
    </row>
    <row r="40" spans="1:3" x14ac:dyDescent="0.4">
      <c r="A40" t="s">
        <v>14</v>
      </c>
      <c r="B40">
        <v>0.08</v>
      </c>
      <c r="C40" t="s">
        <v>8</v>
      </c>
    </row>
    <row r="41" spans="1:3" x14ac:dyDescent="0.4">
      <c r="A41" t="s">
        <v>14</v>
      </c>
      <c r="B41">
        <v>0.06</v>
      </c>
      <c r="C41" t="s">
        <v>8</v>
      </c>
    </row>
    <row r="42" spans="1:3" x14ac:dyDescent="0.4">
      <c r="A42" t="s">
        <v>15</v>
      </c>
      <c r="B42">
        <v>0.05</v>
      </c>
      <c r="C42" t="s">
        <v>8</v>
      </c>
    </row>
    <row r="43" spans="1:3" x14ac:dyDescent="0.4">
      <c r="A43" t="s">
        <v>15</v>
      </c>
      <c r="B43">
        <v>0.13333333333333333</v>
      </c>
      <c r="C43" t="s">
        <v>8</v>
      </c>
    </row>
    <row r="44" spans="1:3" x14ac:dyDescent="0.4">
      <c r="A44" t="s">
        <v>15</v>
      </c>
      <c r="B44">
        <v>6.6666666666666666E-2</v>
      </c>
      <c r="C44" t="s">
        <v>8</v>
      </c>
    </row>
    <row r="45" spans="1:3" x14ac:dyDescent="0.4">
      <c r="A45" t="s">
        <v>13</v>
      </c>
      <c r="B45">
        <v>3.3333333333333333E-2</v>
      </c>
      <c r="C45" t="s">
        <v>8</v>
      </c>
    </row>
    <row r="46" spans="1:3" x14ac:dyDescent="0.4">
      <c r="A46" t="s">
        <v>13</v>
      </c>
      <c r="B46">
        <v>4.6666666666666669E-2</v>
      </c>
      <c r="C46" t="s">
        <v>8</v>
      </c>
    </row>
    <row r="47" spans="1:3" x14ac:dyDescent="0.4">
      <c r="A47" t="s">
        <v>13</v>
      </c>
      <c r="B47">
        <v>3.6363636363636362E-2</v>
      </c>
      <c r="C47" t="s">
        <v>8</v>
      </c>
    </row>
    <row r="48" spans="1:3" x14ac:dyDescent="0.4">
      <c r="A48" t="s">
        <v>17</v>
      </c>
      <c r="B48">
        <v>1.4545454545454546E-4</v>
      </c>
      <c r="C48" t="s">
        <v>8</v>
      </c>
    </row>
    <row r="49" spans="1:3" x14ac:dyDescent="0.4">
      <c r="A49" t="s">
        <v>17</v>
      </c>
      <c r="B49">
        <v>5.0000000000000001E-4</v>
      </c>
      <c r="C49" t="s">
        <v>8</v>
      </c>
    </row>
    <row r="50" spans="1:3" x14ac:dyDescent="0.4">
      <c r="A50" t="s">
        <v>17</v>
      </c>
      <c r="B50">
        <v>2.6666666666666668E-4</v>
      </c>
      <c r="C50" t="s">
        <v>8</v>
      </c>
    </row>
    <row r="51" spans="1:3" x14ac:dyDescent="0.4">
      <c r="A51" t="s">
        <v>16</v>
      </c>
      <c r="B51">
        <v>0.05</v>
      </c>
      <c r="C51" t="s">
        <v>9</v>
      </c>
    </row>
    <row r="52" spans="1:3" x14ac:dyDescent="0.4">
      <c r="A52" t="s">
        <v>16</v>
      </c>
      <c r="B52">
        <v>0.11666666666666667</v>
      </c>
      <c r="C52" t="s">
        <v>9</v>
      </c>
    </row>
    <row r="53" spans="1:3" x14ac:dyDescent="0.4">
      <c r="A53" t="s">
        <v>16</v>
      </c>
      <c r="B53">
        <v>0.15</v>
      </c>
      <c r="C53" t="s">
        <v>9</v>
      </c>
    </row>
    <row r="54" spans="1:3" x14ac:dyDescent="0.4">
      <c r="A54" t="s">
        <v>11</v>
      </c>
      <c r="B54">
        <v>3.7499999999999999E-2</v>
      </c>
      <c r="C54" t="s">
        <v>9</v>
      </c>
    </row>
    <row r="55" spans="1:3" x14ac:dyDescent="0.4">
      <c r="A55" t="s">
        <v>11</v>
      </c>
      <c r="B55">
        <v>2.8571428571428571E-2</v>
      </c>
      <c r="C55" t="s">
        <v>9</v>
      </c>
    </row>
    <row r="56" spans="1:3" x14ac:dyDescent="0.4">
      <c r="A56" t="s">
        <v>11</v>
      </c>
      <c r="B56">
        <v>0.06</v>
      </c>
      <c r="C56" t="s">
        <v>9</v>
      </c>
    </row>
    <row r="57" spans="1:3" x14ac:dyDescent="0.4">
      <c r="A57" t="s">
        <v>12</v>
      </c>
      <c r="B57">
        <v>0.13333333333333333</v>
      </c>
      <c r="C57" t="s">
        <v>9</v>
      </c>
    </row>
    <row r="58" spans="1:3" x14ac:dyDescent="0.4">
      <c r="A58" t="s">
        <v>12</v>
      </c>
      <c r="B58">
        <v>7.4999999999999997E-2</v>
      </c>
      <c r="C58" t="s">
        <v>9</v>
      </c>
    </row>
    <row r="59" spans="1:3" x14ac:dyDescent="0.4">
      <c r="A59" t="s">
        <v>12</v>
      </c>
      <c r="B59">
        <v>0.05</v>
      </c>
      <c r="C59" t="s">
        <v>9</v>
      </c>
    </row>
    <row r="60" spans="1:3" x14ac:dyDescent="0.4">
      <c r="A60" t="s">
        <v>14</v>
      </c>
      <c r="B60">
        <v>0.11666666666666667</v>
      </c>
      <c r="C60" t="s">
        <v>9</v>
      </c>
    </row>
    <row r="61" spans="1:3" x14ac:dyDescent="0.4">
      <c r="A61" t="s">
        <v>14</v>
      </c>
      <c r="B61">
        <v>9.1999999999999998E-2</v>
      </c>
      <c r="C61" t="s">
        <v>9</v>
      </c>
    </row>
    <row r="62" spans="1:3" x14ac:dyDescent="0.4">
      <c r="A62" t="s">
        <v>14</v>
      </c>
      <c r="B62">
        <v>9.166666666666666E-2</v>
      </c>
      <c r="C62" t="s">
        <v>9</v>
      </c>
    </row>
    <row r="63" spans="1:3" x14ac:dyDescent="0.4">
      <c r="A63" t="s">
        <v>15</v>
      </c>
      <c r="B63">
        <v>0.24</v>
      </c>
      <c r="C63" t="s">
        <v>9</v>
      </c>
    </row>
    <row r="64" spans="1:3" x14ac:dyDescent="0.4">
      <c r="A64" t="s">
        <v>15</v>
      </c>
      <c r="B64">
        <v>0.12307692307692308</v>
      </c>
      <c r="C64" t="s">
        <v>9</v>
      </c>
    </row>
    <row r="65" spans="1:3" x14ac:dyDescent="0.4">
      <c r="A65" t="s">
        <v>15</v>
      </c>
      <c r="B65">
        <v>0.1125</v>
      </c>
      <c r="C65" t="s">
        <v>9</v>
      </c>
    </row>
    <row r="66" spans="1:3" x14ac:dyDescent="0.4">
      <c r="A66" t="s">
        <v>13</v>
      </c>
      <c r="B66">
        <v>0.25</v>
      </c>
      <c r="C66" t="s">
        <v>9</v>
      </c>
    </row>
    <row r="67" spans="1:3" x14ac:dyDescent="0.4">
      <c r="A67" t="s">
        <v>13</v>
      </c>
      <c r="B67">
        <v>0.16666666666666666</v>
      </c>
      <c r="C67" t="s">
        <v>9</v>
      </c>
    </row>
    <row r="68" spans="1:3" x14ac:dyDescent="0.4">
      <c r="A68" t="s">
        <v>13</v>
      </c>
      <c r="B68">
        <v>0.3</v>
      </c>
      <c r="C68" t="s">
        <v>9</v>
      </c>
    </row>
    <row r="69" spans="1:3" x14ac:dyDescent="0.4">
      <c r="A69" t="s">
        <v>17</v>
      </c>
      <c r="B69">
        <v>1.25E-3</v>
      </c>
      <c r="C69" t="s">
        <v>9</v>
      </c>
    </row>
    <row r="70" spans="1:3" x14ac:dyDescent="0.4">
      <c r="A70" t="s">
        <v>17</v>
      </c>
      <c r="B70">
        <v>5.0000000000000001E-4</v>
      </c>
      <c r="C70" t="s">
        <v>9</v>
      </c>
    </row>
    <row r="71" spans="1:3" x14ac:dyDescent="0.4">
      <c r="A71" t="s">
        <v>17</v>
      </c>
      <c r="B71">
        <v>8.8888888888888893E-4</v>
      </c>
      <c r="C71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4F39-E640-42A7-9821-A5A2D5CFFF40}">
  <dimension ref="A1:E71"/>
  <sheetViews>
    <sheetView tabSelected="1" workbookViewId="0">
      <selection activeCell="F18" sqref="F18"/>
    </sheetView>
  </sheetViews>
  <sheetFormatPr defaultRowHeight="17.399999999999999" x14ac:dyDescent="0.4"/>
  <cols>
    <col min="1" max="1" width="14.8984375" customWidth="1"/>
    <col min="2" max="2" width="9.3984375" bestFit="1" customWidth="1"/>
  </cols>
  <sheetData>
    <row r="1" spans="1:5" x14ac:dyDescent="0.4">
      <c r="A1" t="s">
        <v>4</v>
      </c>
      <c r="B1" t="s">
        <v>1</v>
      </c>
      <c r="C1" t="s">
        <v>0</v>
      </c>
      <c r="D1" t="s">
        <v>2</v>
      </c>
      <c r="E1" t="s">
        <v>5</v>
      </c>
    </row>
    <row r="2" spans="1:5" x14ac:dyDescent="0.4">
      <c r="A2" t="s">
        <v>16</v>
      </c>
      <c r="B2">
        <f>4*10^6</f>
        <v>4000000</v>
      </c>
      <c r="C2">
        <v>120</v>
      </c>
      <c r="D2">
        <f>C2/B2</f>
        <v>3.0000000000000001E-5</v>
      </c>
      <c r="E2" t="s">
        <v>10</v>
      </c>
    </row>
    <row r="3" spans="1:5" x14ac:dyDescent="0.4">
      <c r="A3" t="s">
        <v>11</v>
      </c>
      <c r="B3">
        <f>25*10^5</f>
        <v>2500000</v>
      </c>
      <c r="C3">
        <f>70</f>
        <v>70</v>
      </c>
      <c r="D3">
        <f t="shared" ref="D3:D8" si="0">C3/B3</f>
        <v>2.8E-5</v>
      </c>
      <c r="E3" t="s">
        <v>10</v>
      </c>
    </row>
    <row r="4" spans="1:5" x14ac:dyDescent="0.4">
      <c r="A4" t="s">
        <v>12</v>
      </c>
      <c r="B4">
        <f>35*10^5</f>
        <v>3500000</v>
      </c>
      <c r="C4">
        <v>70</v>
      </c>
      <c r="D4">
        <f t="shared" si="0"/>
        <v>2.0000000000000002E-5</v>
      </c>
      <c r="E4" t="s">
        <v>10</v>
      </c>
    </row>
    <row r="5" spans="1:5" x14ac:dyDescent="0.4">
      <c r="A5" t="s">
        <v>14</v>
      </c>
      <c r="B5">
        <f>13*10^5</f>
        <v>1300000</v>
      </c>
      <c r="C5">
        <v>320</v>
      </c>
      <c r="D5">
        <f t="shared" si="0"/>
        <v>2.4615384615384614E-4</v>
      </c>
      <c r="E5" t="s">
        <v>10</v>
      </c>
    </row>
    <row r="6" spans="1:5" x14ac:dyDescent="0.4">
      <c r="A6" t="s">
        <v>15</v>
      </c>
      <c r="B6">
        <f>4*10^6</f>
        <v>4000000</v>
      </c>
      <c r="C6">
        <v>160</v>
      </c>
      <c r="D6">
        <f t="shared" si="0"/>
        <v>4.0000000000000003E-5</v>
      </c>
      <c r="E6" t="s">
        <v>10</v>
      </c>
    </row>
    <row r="7" spans="1:5" x14ac:dyDescent="0.4">
      <c r="A7" t="s">
        <v>13</v>
      </c>
      <c r="B7">
        <f>31*10^5</f>
        <v>3100000</v>
      </c>
      <c r="C7">
        <v>120</v>
      </c>
      <c r="D7">
        <f t="shared" si="0"/>
        <v>3.8709677419354842E-5</v>
      </c>
      <c r="E7" t="s">
        <v>10</v>
      </c>
    </row>
    <row r="8" spans="1:5" x14ac:dyDescent="0.4">
      <c r="A8" t="s">
        <v>17</v>
      </c>
      <c r="B8">
        <f>4*10^6</f>
        <v>4000000</v>
      </c>
      <c r="C8">
        <v>160</v>
      </c>
      <c r="D8">
        <f t="shared" si="0"/>
        <v>4.0000000000000003E-5</v>
      </c>
      <c r="E8" t="s">
        <v>10</v>
      </c>
    </row>
    <row r="9" spans="1:5" x14ac:dyDescent="0.4">
      <c r="A9" t="s">
        <v>16</v>
      </c>
      <c r="B9">
        <f>5*10^6</f>
        <v>5000000</v>
      </c>
      <c r="C9">
        <f>10*10^4</f>
        <v>100000</v>
      </c>
      <c r="D9">
        <f>C9/B9</f>
        <v>0.02</v>
      </c>
      <c r="E9" t="s">
        <v>7</v>
      </c>
    </row>
    <row r="10" spans="1:5" x14ac:dyDescent="0.4">
      <c r="A10" t="s">
        <v>16</v>
      </c>
      <c r="B10">
        <f>2*10^6</f>
        <v>2000000</v>
      </c>
      <c r="C10">
        <f>8*10^4</f>
        <v>80000</v>
      </c>
      <c r="D10">
        <f t="shared" ref="D10:D29" si="1">C10/B10</f>
        <v>0.04</v>
      </c>
      <c r="E10" t="s">
        <v>7</v>
      </c>
    </row>
    <row r="11" spans="1:5" x14ac:dyDescent="0.4">
      <c r="A11" t="s">
        <v>16</v>
      </c>
      <c r="B11">
        <f>17*10^5</f>
        <v>1700000</v>
      </c>
      <c r="C11">
        <f>4*10^4</f>
        <v>40000</v>
      </c>
      <c r="D11">
        <f t="shared" si="1"/>
        <v>2.3529411764705882E-2</v>
      </c>
      <c r="E11" t="s">
        <v>7</v>
      </c>
    </row>
    <row r="12" spans="1:5" x14ac:dyDescent="0.4">
      <c r="A12" t="s">
        <v>11</v>
      </c>
      <c r="B12">
        <f>16*10^5</f>
        <v>1600000</v>
      </c>
      <c r="C12">
        <f>8*10^3</f>
        <v>8000</v>
      </c>
      <c r="D12">
        <f t="shared" si="1"/>
        <v>5.0000000000000001E-3</v>
      </c>
      <c r="E12" t="s">
        <v>7</v>
      </c>
    </row>
    <row r="13" spans="1:5" x14ac:dyDescent="0.4">
      <c r="A13" t="s">
        <v>11</v>
      </c>
      <c r="B13">
        <f>17*10^5</f>
        <v>1700000</v>
      </c>
      <c r="C13">
        <f>12*10^3</f>
        <v>12000</v>
      </c>
      <c r="D13">
        <f t="shared" si="1"/>
        <v>7.058823529411765E-3</v>
      </c>
      <c r="E13" t="s">
        <v>7</v>
      </c>
    </row>
    <row r="14" spans="1:5" x14ac:dyDescent="0.4">
      <c r="A14" t="s">
        <v>11</v>
      </c>
      <c r="B14">
        <f>10*10^5</f>
        <v>1000000</v>
      </c>
      <c r="C14">
        <f>10*10^3</f>
        <v>10000</v>
      </c>
      <c r="D14">
        <f t="shared" si="1"/>
        <v>0.01</v>
      </c>
      <c r="E14" t="s">
        <v>7</v>
      </c>
    </row>
    <row r="15" spans="1:5" x14ac:dyDescent="0.4">
      <c r="A15" t="s">
        <v>12</v>
      </c>
      <c r="B15">
        <f>7*10^5</f>
        <v>700000</v>
      </c>
      <c r="C15">
        <f>10*10^4</f>
        <v>100000</v>
      </c>
      <c r="D15">
        <f t="shared" si="1"/>
        <v>0.14285714285714285</v>
      </c>
      <c r="E15" t="s">
        <v>7</v>
      </c>
    </row>
    <row r="16" spans="1:5" x14ac:dyDescent="0.4">
      <c r="A16" t="s">
        <v>12</v>
      </c>
      <c r="B16">
        <f>4*10^6</f>
        <v>4000000</v>
      </c>
      <c r="C16">
        <f>9*10^4</f>
        <v>90000</v>
      </c>
      <c r="D16">
        <f t="shared" si="1"/>
        <v>2.2499999999999999E-2</v>
      </c>
      <c r="E16" t="s">
        <v>7</v>
      </c>
    </row>
    <row r="17" spans="1:5" x14ac:dyDescent="0.4">
      <c r="A17" t="s">
        <v>12</v>
      </c>
      <c r="B17">
        <f>4*10^6</f>
        <v>4000000</v>
      </c>
      <c r="C17">
        <f>12*10^4</f>
        <v>120000</v>
      </c>
      <c r="D17">
        <f t="shared" si="1"/>
        <v>0.03</v>
      </c>
      <c r="E17" t="s">
        <v>7</v>
      </c>
    </row>
    <row r="18" spans="1:5" x14ac:dyDescent="0.4">
      <c r="A18" t="s">
        <v>14</v>
      </c>
      <c r="B18">
        <f>14*10^5</f>
        <v>1400000</v>
      </c>
      <c r="C18">
        <f>5*10^4</f>
        <v>50000</v>
      </c>
      <c r="D18">
        <f t="shared" si="1"/>
        <v>3.5714285714285712E-2</v>
      </c>
      <c r="E18" t="s">
        <v>7</v>
      </c>
    </row>
    <row r="19" spans="1:5" x14ac:dyDescent="0.4">
      <c r="A19" t="s">
        <v>14</v>
      </c>
      <c r="B19">
        <f>3*10^6</f>
        <v>3000000</v>
      </c>
      <c r="C19">
        <f>15*10^4</f>
        <v>150000</v>
      </c>
      <c r="D19">
        <f t="shared" si="1"/>
        <v>0.05</v>
      </c>
      <c r="E19" t="s">
        <v>7</v>
      </c>
    </row>
    <row r="20" spans="1:5" x14ac:dyDescent="0.4">
      <c r="A20" t="s">
        <v>14</v>
      </c>
      <c r="B20">
        <f>8*10^5</f>
        <v>800000</v>
      </c>
      <c r="C20">
        <f>6*10^4</f>
        <v>60000</v>
      </c>
      <c r="D20">
        <f t="shared" si="1"/>
        <v>7.4999999999999997E-2</v>
      </c>
      <c r="E20" t="s">
        <v>7</v>
      </c>
    </row>
    <row r="21" spans="1:5" x14ac:dyDescent="0.4">
      <c r="A21" t="s">
        <v>15</v>
      </c>
      <c r="B21">
        <f>9*10^5</f>
        <v>900000</v>
      </c>
      <c r="C21">
        <f>3*10^4</f>
        <v>30000</v>
      </c>
      <c r="D21">
        <f t="shared" si="1"/>
        <v>3.3333333333333333E-2</v>
      </c>
      <c r="E21" t="s">
        <v>7</v>
      </c>
    </row>
    <row r="22" spans="1:5" x14ac:dyDescent="0.4">
      <c r="A22" t="s">
        <v>15</v>
      </c>
      <c r="B22">
        <f>24*10^5</f>
        <v>2400000</v>
      </c>
      <c r="C22">
        <f>6*10^4</f>
        <v>60000</v>
      </c>
      <c r="D22">
        <f t="shared" si="1"/>
        <v>2.5000000000000001E-2</v>
      </c>
      <c r="E22" t="s">
        <v>7</v>
      </c>
    </row>
    <row r="23" spans="1:5" x14ac:dyDescent="0.4">
      <c r="A23" t="s">
        <v>15</v>
      </c>
      <c r="B23">
        <f>8*10^6</f>
        <v>8000000</v>
      </c>
      <c r="C23">
        <f>5*10^4</f>
        <v>50000</v>
      </c>
      <c r="D23">
        <f t="shared" si="1"/>
        <v>6.2500000000000003E-3</v>
      </c>
      <c r="E23" t="s">
        <v>7</v>
      </c>
    </row>
    <row r="24" spans="1:5" x14ac:dyDescent="0.4">
      <c r="A24" t="s">
        <v>13</v>
      </c>
      <c r="B24">
        <f>2*10^6</f>
        <v>2000000</v>
      </c>
      <c r="C24">
        <f>7*10^4</f>
        <v>70000</v>
      </c>
      <c r="D24">
        <f t="shared" si="1"/>
        <v>3.5000000000000003E-2</v>
      </c>
      <c r="E24" t="s">
        <v>7</v>
      </c>
    </row>
    <row r="25" spans="1:5" x14ac:dyDescent="0.4">
      <c r="A25" t="s">
        <v>13</v>
      </c>
      <c r="B25">
        <f>5*10^6</f>
        <v>5000000</v>
      </c>
      <c r="C25">
        <f>9*10^4</f>
        <v>90000</v>
      </c>
      <c r="D25">
        <f t="shared" si="1"/>
        <v>1.7999999999999999E-2</v>
      </c>
      <c r="E25" t="s">
        <v>7</v>
      </c>
    </row>
    <row r="26" spans="1:5" x14ac:dyDescent="0.4">
      <c r="A26" t="s">
        <v>13</v>
      </c>
      <c r="B26">
        <f>3*10^6</f>
        <v>3000000</v>
      </c>
      <c r="C26">
        <f>10*10^4</f>
        <v>100000</v>
      </c>
      <c r="D26">
        <f t="shared" si="1"/>
        <v>3.3333333333333333E-2</v>
      </c>
      <c r="E26" t="s">
        <v>7</v>
      </c>
    </row>
    <row r="27" spans="1:5" x14ac:dyDescent="0.4">
      <c r="A27" t="s">
        <v>17</v>
      </c>
      <c r="B27">
        <f>2*10^6</f>
        <v>2000000</v>
      </c>
      <c r="C27">
        <f>300</f>
        <v>300</v>
      </c>
      <c r="D27">
        <f t="shared" si="1"/>
        <v>1.4999999999999999E-4</v>
      </c>
      <c r="E27" t="s">
        <v>7</v>
      </c>
    </row>
    <row r="28" spans="1:5" x14ac:dyDescent="0.4">
      <c r="A28" t="s">
        <v>17</v>
      </c>
      <c r="B28">
        <f>4*10^6</f>
        <v>4000000</v>
      </c>
      <c r="C28">
        <v>600</v>
      </c>
      <c r="D28">
        <f t="shared" si="1"/>
        <v>1.4999999999999999E-4</v>
      </c>
      <c r="E28" t="s">
        <v>7</v>
      </c>
    </row>
    <row r="29" spans="1:5" x14ac:dyDescent="0.4">
      <c r="A29" t="s">
        <v>17</v>
      </c>
      <c r="B29">
        <f>20*10^5</f>
        <v>2000000</v>
      </c>
      <c r="C29">
        <v>600</v>
      </c>
      <c r="D29">
        <f t="shared" si="1"/>
        <v>2.9999999999999997E-4</v>
      </c>
      <c r="E29" t="s">
        <v>7</v>
      </c>
    </row>
    <row r="30" spans="1:5" x14ac:dyDescent="0.4">
      <c r="A30" t="s">
        <v>16</v>
      </c>
      <c r="B30">
        <f>3*10^6</f>
        <v>3000000</v>
      </c>
      <c r="C30">
        <f>2*10^5</f>
        <v>200000</v>
      </c>
      <c r="D30">
        <f>C30/B30</f>
        <v>6.6666666666666666E-2</v>
      </c>
      <c r="E30" t="s">
        <v>8</v>
      </c>
    </row>
    <row r="31" spans="1:5" x14ac:dyDescent="0.4">
      <c r="A31" t="s">
        <v>16</v>
      </c>
      <c r="B31">
        <f>7*10^6</f>
        <v>7000000</v>
      </c>
      <c r="C31">
        <f>1*10^5</f>
        <v>100000</v>
      </c>
      <c r="D31">
        <f t="shared" ref="D31:D50" si="2">C31/B31</f>
        <v>1.4285714285714285E-2</v>
      </c>
      <c r="E31" t="s">
        <v>8</v>
      </c>
    </row>
    <row r="32" spans="1:5" x14ac:dyDescent="0.4">
      <c r="A32" t="s">
        <v>16</v>
      </c>
      <c r="B32">
        <f>4*10^6</f>
        <v>4000000</v>
      </c>
      <c r="C32">
        <f>1*10^5</f>
        <v>100000</v>
      </c>
      <c r="D32">
        <f t="shared" si="2"/>
        <v>2.5000000000000001E-2</v>
      </c>
      <c r="E32" t="s">
        <v>8</v>
      </c>
    </row>
    <row r="33" spans="1:5" x14ac:dyDescent="0.4">
      <c r="A33" t="s">
        <v>11</v>
      </c>
      <c r="B33">
        <f>17*10^6</f>
        <v>17000000</v>
      </c>
      <c r="C33">
        <f>2*10^4</f>
        <v>20000</v>
      </c>
      <c r="D33">
        <f t="shared" si="2"/>
        <v>1.176470588235294E-3</v>
      </c>
      <c r="E33" t="s">
        <v>8</v>
      </c>
    </row>
    <row r="34" spans="1:5" x14ac:dyDescent="0.4">
      <c r="A34" t="s">
        <v>11</v>
      </c>
      <c r="B34">
        <f>11*10^6</f>
        <v>11000000</v>
      </c>
      <c r="C34">
        <f>3*10^4</f>
        <v>30000</v>
      </c>
      <c r="D34">
        <f t="shared" si="2"/>
        <v>2.7272727272727275E-3</v>
      </c>
      <c r="E34" t="s">
        <v>8</v>
      </c>
    </row>
    <row r="35" spans="1:5" x14ac:dyDescent="0.4">
      <c r="A35" t="s">
        <v>11</v>
      </c>
      <c r="B35">
        <f>4*10^6</f>
        <v>4000000</v>
      </c>
      <c r="C35">
        <f>3*10^4</f>
        <v>30000</v>
      </c>
      <c r="D35">
        <f t="shared" si="2"/>
        <v>7.4999999999999997E-3</v>
      </c>
      <c r="E35" t="s">
        <v>8</v>
      </c>
    </row>
    <row r="36" spans="1:5" x14ac:dyDescent="0.4">
      <c r="A36" t="s">
        <v>12</v>
      </c>
      <c r="B36">
        <f>4*10^6</f>
        <v>4000000</v>
      </c>
      <c r="C36">
        <f>21*10^4</f>
        <v>210000</v>
      </c>
      <c r="D36">
        <f t="shared" si="2"/>
        <v>5.2499999999999998E-2</v>
      </c>
      <c r="E36" t="s">
        <v>8</v>
      </c>
    </row>
    <row r="37" spans="1:5" x14ac:dyDescent="0.4">
      <c r="A37" t="s">
        <v>12</v>
      </c>
      <c r="B37">
        <f>8*10^6</f>
        <v>8000000</v>
      </c>
      <c r="C37">
        <f>22*10^4</f>
        <v>220000</v>
      </c>
      <c r="D37">
        <f t="shared" si="2"/>
        <v>2.75E-2</v>
      </c>
      <c r="E37" t="s">
        <v>8</v>
      </c>
    </row>
    <row r="38" spans="1:5" x14ac:dyDescent="0.4">
      <c r="A38" t="s">
        <v>12</v>
      </c>
      <c r="B38">
        <f>6*10^6</f>
        <v>6000000</v>
      </c>
      <c r="C38">
        <f>10*10^4</f>
        <v>100000</v>
      </c>
      <c r="D38">
        <f t="shared" si="2"/>
        <v>1.6666666666666666E-2</v>
      </c>
      <c r="E38" t="s">
        <v>8</v>
      </c>
    </row>
    <row r="39" spans="1:5" x14ac:dyDescent="0.4">
      <c r="A39" t="s">
        <v>14</v>
      </c>
      <c r="B39">
        <f>6*10^6</f>
        <v>6000000</v>
      </c>
      <c r="C39">
        <f>6*10^5</f>
        <v>600000</v>
      </c>
      <c r="D39">
        <f t="shared" si="2"/>
        <v>0.1</v>
      </c>
      <c r="E39" t="s">
        <v>8</v>
      </c>
    </row>
    <row r="40" spans="1:5" x14ac:dyDescent="0.4">
      <c r="A40" t="s">
        <v>14</v>
      </c>
      <c r="B40">
        <f>5*10^6</f>
        <v>5000000</v>
      </c>
      <c r="C40">
        <f>4*10^5</f>
        <v>400000</v>
      </c>
      <c r="D40">
        <f t="shared" si="2"/>
        <v>0.08</v>
      </c>
      <c r="E40" t="s">
        <v>8</v>
      </c>
    </row>
    <row r="41" spans="1:5" x14ac:dyDescent="0.4">
      <c r="A41" t="s">
        <v>14</v>
      </c>
      <c r="B41">
        <f>5*10^6</f>
        <v>5000000</v>
      </c>
      <c r="C41">
        <f>3*10^5</f>
        <v>300000</v>
      </c>
      <c r="D41">
        <f t="shared" si="2"/>
        <v>0.06</v>
      </c>
      <c r="E41" t="s">
        <v>8</v>
      </c>
    </row>
    <row r="42" spans="1:5" x14ac:dyDescent="0.4">
      <c r="A42" t="s">
        <v>15</v>
      </c>
      <c r="B42">
        <f>6*10^6</f>
        <v>6000000</v>
      </c>
      <c r="C42">
        <f>3*10^5</f>
        <v>300000</v>
      </c>
      <c r="D42">
        <f t="shared" si="2"/>
        <v>0.05</v>
      </c>
      <c r="E42" t="s">
        <v>8</v>
      </c>
    </row>
    <row r="43" spans="1:5" x14ac:dyDescent="0.4">
      <c r="A43" t="s">
        <v>15</v>
      </c>
      <c r="B43">
        <f>3*10^6</f>
        <v>3000000</v>
      </c>
      <c r="C43">
        <f>4*10^5</f>
        <v>400000</v>
      </c>
      <c r="D43">
        <f t="shared" si="2"/>
        <v>0.13333333333333333</v>
      </c>
      <c r="E43" t="s">
        <v>8</v>
      </c>
    </row>
    <row r="44" spans="1:5" x14ac:dyDescent="0.4">
      <c r="A44" t="s">
        <v>15</v>
      </c>
      <c r="B44">
        <f>3*10^6</f>
        <v>3000000</v>
      </c>
      <c r="C44">
        <f>2*10^5</f>
        <v>200000</v>
      </c>
      <c r="D44">
        <f t="shared" si="2"/>
        <v>6.6666666666666666E-2</v>
      </c>
      <c r="E44" t="s">
        <v>8</v>
      </c>
    </row>
    <row r="45" spans="1:5" x14ac:dyDescent="0.4">
      <c r="A45" t="s">
        <v>13</v>
      </c>
      <c r="B45">
        <f>3*10^6</f>
        <v>3000000</v>
      </c>
      <c r="C45">
        <f>1*10^5</f>
        <v>100000</v>
      </c>
      <c r="D45">
        <f t="shared" si="2"/>
        <v>3.3333333333333333E-2</v>
      </c>
      <c r="E45" t="s">
        <v>8</v>
      </c>
    </row>
    <row r="46" spans="1:5" x14ac:dyDescent="0.4">
      <c r="A46" t="s">
        <v>13</v>
      </c>
      <c r="B46">
        <f>3*10^6</f>
        <v>3000000</v>
      </c>
      <c r="C46">
        <f>14*10^4</f>
        <v>140000</v>
      </c>
      <c r="D46">
        <f t="shared" si="2"/>
        <v>4.6666666666666669E-2</v>
      </c>
      <c r="E46" t="s">
        <v>8</v>
      </c>
    </row>
    <row r="47" spans="1:5" x14ac:dyDescent="0.4">
      <c r="A47" t="s">
        <v>13</v>
      </c>
      <c r="B47">
        <f>33*10^5</f>
        <v>3300000</v>
      </c>
      <c r="C47">
        <f>12*10^4</f>
        <v>120000</v>
      </c>
      <c r="D47">
        <f t="shared" si="2"/>
        <v>3.6363636363636362E-2</v>
      </c>
      <c r="E47" t="s">
        <v>8</v>
      </c>
    </row>
    <row r="48" spans="1:5" x14ac:dyDescent="0.4">
      <c r="A48" t="s">
        <v>17</v>
      </c>
      <c r="B48">
        <f>11*10^6</f>
        <v>11000000</v>
      </c>
      <c r="C48">
        <v>1600</v>
      </c>
      <c r="D48">
        <f t="shared" si="2"/>
        <v>1.4545454545454546E-4</v>
      </c>
      <c r="E48" t="s">
        <v>8</v>
      </c>
    </row>
    <row r="49" spans="1:5" x14ac:dyDescent="0.4">
      <c r="A49" t="s">
        <v>17</v>
      </c>
      <c r="B49">
        <f>3*10^6</f>
        <v>3000000</v>
      </c>
      <c r="C49">
        <v>1500</v>
      </c>
      <c r="D49">
        <f t="shared" si="2"/>
        <v>5.0000000000000001E-4</v>
      </c>
      <c r="E49" t="s">
        <v>8</v>
      </c>
    </row>
    <row r="50" spans="1:5" x14ac:dyDescent="0.4">
      <c r="A50" t="s">
        <v>17</v>
      </c>
      <c r="B50">
        <f>6*10^6</f>
        <v>6000000</v>
      </c>
      <c r="C50">
        <v>1600</v>
      </c>
      <c r="D50">
        <f t="shared" si="2"/>
        <v>2.6666666666666668E-4</v>
      </c>
      <c r="E50" t="s">
        <v>8</v>
      </c>
    </row>
    <row r="51" spans="1:5" x14ac:dyDescent="0.4">
      <c r="A51" t="s">
        <v>16</v>
      </c>
      <c r="B51">
        <f>6*10^6</f>
        <v>6000000</v>
      </c>
      <c r="C51">
        <f>30*10^4</f>
        <v>300000</v>
      </c>
      <c r="D51">
        <f>C51/B51</f>
        <v>0.05</v>
      </c>
      <c r="E51" t="s">
        <v>9</v>
      </c>
    </row>
    <row r="52" spans="1:5" x14ac:dyDescent="0.4">
      <c r="A52" t="s">
        <v>16</v>
      </c>
      <c r="B52">
        <f>6*10^6</f>
        <v>6000000</v>
      </c>
      <c r="C52">
        <f>7*10^5</f>
        <v>700000</v>
      </c>
      <c r="D52">
        <f t="shared" ref="D52:D71" si="3">C52/B52</f>
        <v>0.11666666666666667</v>
      </c>
      <c r="E52" t="s">
        <v>9</v>
      </c>
    </row>
    <row r="53" spans="1:5" x14ac:dyDescent="0.4">
      <c r="A53" t="s">
        <v>16</v>
      </c>
      <c r="B53">
        <f>2*10^6</f>
        <v>2000000</v>
      </c>
      <c r="C53">
        <f>3*10^5</f>
        <v>300000</v>
      </c>
      <c r="D53">
        <f t="shared" si="3"/>
        <v>0.15</v>
      </c>
      <c r="E53" t="s">
        <v>9</v>
      </c>
    </row>
    <row r="54" spans="1:5" x14ac:dyDescent="0.4">
      <c r="A54" t="s">
        <v>11</v>
      </c>
      <c r="B54">
        <f>8*10^6</f>
        <v>8000000</v>
      </c>
      <c r="C54">
        <f>3*10^5</f>
        <v>300000</v>
      </c>
      <c r="D54">
        <f t="shared" si="3"/>
        <v>3.7499999999999999E-2</v>
      </c>
      <c r="E54" t="s">
        <v>9</v>
      </c>
    </row>
    <row r="55" spans="1:5" x14ac:dyDescent="0.4">
      <c r="A55" t="s">
        <v>11</v>
      </c>
      <c r="B55">
        <f>7*10^6</f>
        <v>7000000</v>
      </c>
      <c r="C55">
        <f>2*10^5</f>
        <v>200000</v>
      </c>
      <c r="D55">
        <f t="shared" si="3"/>
        <v>2.8571428571428571E-2</v>
      </c>
      <c r="E55" t="s">
        <v>9</v>
      </c>
    </row>
    <row r="56" spans="1:5" x14ac:dyDescent="0.4">
      <c r="A56" t="s">
        <v>11</v>
      </c>
      <c r="B56">
        <f>5*10^6</f>
        <v>5000000</v>
      </c>
      <c r="C56">
        <f>3*10^5</f>
        <v>300000</v>
      </c>
      <c r="D56">
        <f t="shared" si="3"/>
        <v>0.06</v>
      </c>
      <c r="E56" t="s">
        <v>9</v>
      </c>
    </row>
    <row r="57" spans="1:5" x14ac:dyDescent="0.4">
      <c r="A57" t="s">
        <v>12</v>
      </c>
      <c r="B57">
        <f>6*10^6</f>
        <v>6000000</v>
      </c>
      <c r="C57">
        <f>8*10^5</f>
        <v>800000</v>
      </c>
      <c r="D57">
        <f t="shared" si="3"/>
        <v>0.13333333333333333</v>
      </c>
      <c r="E57" t="s">
        <v>9</v>
      </c>
    </row>
    <row r="58" spans="1:5" x14ac:dyDescent="0.4">
      <c r="A58" t="s">
        <v>12</v>
      </c>
      <c r="B58">
        <f>4*10^6</f>
        <v>4000000</v>
      </c>
      <c r="C58">
        <f>3*10^5</f>
        <v>300000</v>
      </c>
      <c r="D58">
        <f t="shared" si="3"/>
        <v>7.4999999999999997E-2</v>
      </c>
      <c r="E58" t="s">
        <v>9</v>
      </c>
    </row>
    <row r="59" spans="1:5" x14ac:dyDescent="0.4">
      <c r="A59" t="s">
        <v>12</v>
      </c>
      <c r="B59">
        <f>6*10^6</f>
        <v>6000000</v>
      </c>
      <c r="C59">
        <f>3*10^5</f>
        <v>300000</v>
      </c>
      <c r="D59">
        <f t="shared" si="3"/>
        <v>0.05</v>
      </c>
      <c r="E59" t="s">
        <v>9</v>
      </c>
    </row>
    <row r="60" spans="1:5" x14ac:dyDescent="0.4">
      <c r="A60" t="s">
        <v>14</v>
      </c>
      <c r="B60">
        <f>6*10^6</f>
        <v>6000000</v>
      </c>
      <c r="C60">
        <f>7*10^5</f>
        <v>700000</v>
      </c>
      <c r="D60">
        <f t="shared" si="3"/>
        <v>0.11666666666666667</v>
      </c>
      <c r="E60" t="s">
        <v>9</v>
      </c>
    </row>
    <row r="61" spans="1:5" x14ac:dyDescent="0.4">
      <c r="A61" t="s">
        <v>14</v>
      </c>
      <c r="B61">
        <f>25*10^5</f>
        <v>2500000</v>
      </c>
      <c r="C61">
        <f>23*10^4</f>
        <v>230000</v>
      </c>
      <c r="D61">
        <f t="shared" si="3"/>
        <v>9.1999999999999998E-2</v>
      </c>
      <c r="E61" t="s">
        <v>9</v>
      </c>
    </row>
    <row r="62" spans="1:5" x14ac:dyDescent="0.4">
      <c r="A62" t="s">
        <v>14</v>
      </c>
      <c r="B62">
        <f>12*10^6</f>
        <v>12000000</v>
      </c>
      <c r="C62">
        <f>11*10^5</f>
        <v>1100000</v>
      </c>
      <c r="D62">
        <f t="shared" si="3"/>
        <v>9.166666666666666E-2</v>
      </c>
      <c r="E62" t="s">
        <v>9</v>
      </c>
    </row>
    <row r="63" spans="1:5" x14ac:dyDescent="0.4">
      <c r="A63" t="s">
        <v>15</v>
      </c>
      <c r="B63">
        <f>5*10^6</f>
        <v>5000000</v>
      </c>
      <c r="C63">
        <f>12*10^5</f>
        <v>1200000</v>
      </c>
      <c r="D63">
        <f t="shared" si="3"/>
        <v>0.24</v>
      </c>
      <c r="E63" t="s">
        <v>9</v>
      </c>
    </row>
    <row r="64" spans="1:5" x14ac:dyDescent="0.4">
      <c r="A64" t="s">
        <v>15</v>
      </c>
      <c r="B64">
        <f>65*10^5</f>
        <v>6500000</v>
      </c>
      <c r="C64">
        <f>8*10^5</f>
        <v>800000</v>
      </c>
      <c r="D64">
        <f t="shared" si="3"/>
        <v>0.12307692307692308</v>
      </c>
      <c r="E64" t="s">
        <v>9</v>
      </c>
    </row>
    <row r="65" spans="1:5" x14ac:dyDescent="0.4">
      <c r="A65" t="s">
        <v>15</v>
      </c>
      <c r="B65">
        <f>8*10^6</f>
        <v>8000000</v>
      </c>
      <c r="C65">
        <f>9*10^5</f>
        <v>900000</v>
      </c>
      <c r="D65">
        <f t="shared" si="3"/>
        <v>0.1125</v>
      </c>
      <c r="E65" t="s">
        <v>9</v>
      </c>
    </row>
    <row r="66" spans="1:5" x14ac:dyDescent="0.4">
      <c r="A66" t="s">
        <v>13</v>
      </c>
      <c r="B66">
        <f>4*10^6</f>
        <v>4000000</v>
      </c>
      <c r="C66">
        <f>10*10^5</f>
        <v>1000000</v>
      </c>
      <c r="D66">
        <f t="shared" si="3"/>
        <v>0.25</v>
      </c>
      <c r="E66" t="s">
        <v>9</v>
      </c>
    </row>
    <row r="67" spans="1:5" x14ac:dyDescent="0.4">
      <c r="A67" t="s">
        <v>13</v>
      </c>
      <c r="B67">
        <f>6*10^6</f>
        <v>6000000</v>
      </c>
      <c r="C67">
        <f>10*10^5</f>
        <v>1000000</v>
      </c>
      <c r="D67">
        <f t="shared" si="3"/>
        <v>0.16666666666666666</v>
      </c>
      <c r="E67" t="s">
        <v>9</v>
      </c>
    </row>
    <row r="68" spans="1:5" x14ac:dyDescent="0.4">
      <c r="A68" t="s">
        <v>13</v>
      </c>
      <c r="B68">
        <f>5*10^6</f>
        <v>5000000</v>
      </c>
      <c r="C68">
        <f>15*10^5</f>
        <v>1500000</v>
      </c>
      <c r="D68">
        <f t="shared" si="3"/>
        <v>0.3</v>
      </c>
      <c r="E68" t="s">
        <v>9</v>
      </c>
    </row>
    <row r="69" spans="1:5" x14ac:dyDescent="0.4">
      <c r="A69" t="s">
        <v>17</v>
      </c>
      <c r="B69">
        <f>2*10^6</f>
        <v>2000000</v>
      </c>
      <c r="C69">
        <v>2500</v>
      </c>
      <c r="D69">
        <f t="shared" si="3"/>
        <v>1.25E-3</v>
      </c>
      <c r="E69" t="s">
        <v>9</v>
      </c>
    </row>
    <row r="70" spans="1:5" x14ac:dyDescent="0.4">
      <c r="A70" t="s">
        <v>17</v>
      </c>
      <c r="B70">
        <f>11*10^6</f>
        <v>11000000</v>
      </c>
      <c r="C70">
        <v>5500</v>
      </c>
      <c r="D70">
        <f t="shared" si="3"/>
        <v>5.0000000000000001E-4</v>
      </c>
      <c r="E70" t="s">
        <v>9</v>
      </c>
    </row>
    <row r="71" spans="1:5" x14ac:dyDescent="0.4">
      <c r="A71" t="s">
        <v>17</v>
      </c>
      <c r="B71">
        <f>9*10^6</f>
        <v>9000000</v>
      </c>
      <c r="C71">
        <v>8000</v>
      </c>
      <c r="D71">
        <f t="shared" si="3"/>
        <v>8.8888888888888893E-4</v>
      </c>
      <c r="E7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suppression summary</vt:lpstr>
      <vt:lpstr>counting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chanwoo lee</dc:creator>
  <cp:lastModifiedBy>Chanwoo Lee</cp:lastModifiedBy>
  <dcterms:created xsi:type="dcterms:W3CDTF">2022-10-26T04:23:47Z</dcterms:created>
  <dcterms:modified xsi:type="dcterms:W3CDTF">2024-12-10T09:24:52Z</dcterms:modified>
</cp:coreProperties>
</file>