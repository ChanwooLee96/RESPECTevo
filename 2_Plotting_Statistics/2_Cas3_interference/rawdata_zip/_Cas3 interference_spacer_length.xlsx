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36c92d0988cb4a1/python/RESPECTevo-Code_Rawdata/2_Plotting_Statistics/2_Cas3_interference/rawdata_zip/"/>
    </mc:Choice>
  </mc:AlternateContent>
  <xr:revisionPtr revIDLastSave="561" documentId="11_119C83C562D1BE6B0602390C1DE32FB8FF7F8D43" xr6:coauthVersionLast="47" xr6:coauthVersionMax="47" xr10:uidLastSave="{2EBF7EB5-622C-4EDF-9C2F-F2B979EC44D3}"/>
  <bookViews>
    <workbookView xWindow="36960" yWindow="960" windowWidth="21600" windowHeight="11235" activeTab="1" xr2:uid="{00000000-000D-0000-FFFF-FFFF00000000}"/>
  </bookViews>
  <sheets>
    <sheet name="33-417nt" sheetId="6" r:id="rId1"/>
    <sheet name="nocrRNA" sheetId="7" r:id="rId2"/>
    <sheet name="All_data" sheetId="5" r:id="rId3"/>
    <sheet name="Count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7" i="4" l="1"/>
  <c r="A37" i="4" s="1"/>
  <c r="E36" i="4"/>
  <c r="E35" i="4"/>
  <c r="E34" i="4"/>
  <c r="A34" i="4"/>
  <c r="E33" i="4"/>
  <c r="E32" i="4"/>
  <c r="D37" i="4"/>
  <c r="D36" i="4"/>
  <c r="D35" i="4"/>
  <c r="D34" i="4"/>
  <c r="D33" i="4"/>
  <c r="D32" i="4"/>
  <c r="E31" i="4"/>
  <c r="A31" i="4" s="1"/>
  <c r="E30" i="4"/>
  <c r="A30" i="4" s="1"/>
  <c r="E29" i="4"/>
  <c r="E28" i="4"/>
  <c r="E27" i="4"/>
  <c r="E26" i="4"/>
  <c r="A26" i="4" s="1"/>
  <c r="D28" i="4"/>
  <c r="A28" i="4" s="1"/>
  <c r="D27" i="4"/>
  <c r="D26" i="4"/>
  <c r="E25" i="4"/>
  <c r="A25" i="4" s="1"/>
  <c r="E24" i="4"/>
  <c r="E23" i="4"/>
  <c r="E22" i="4"/>
  <c r="E21" i="4"/>
  <c r="A21" i="4" s="1"/>
  <c r="E20" i="4"/>
  <c r="D25" i="4"/>
  <c r="D24" i="4"/>
  <c r="A24" i="4" s="1"/>
  <c r="D23" i="4"/>
  <c r="A23" i="4" s="1"/>
  <c r="D22" i="4"/>
  <c r="A22" i="4" s="1"/>
  <c r="D21" i="4"/>
  <c r="D20" i="4"/>
  <c r="A20" i="4"/>
  <c r="A36" i="4"/>
  <c r="A35" i="4"/>
  <c r="A33" i="4"/>
  <c r="A29" i="4"/>
  <c r="E19" i="4"/>
  <c r="A19" i="4" s="1"/>
  <c r="E18" i="4"/>
  <c r="E17" i="4"/>
  <c r="A17" i="4" s="1"/>
  <c r="E16" i="4"/>
  <c r="A16" i="4" s="1"/>
  <c r="E15" i="4"/>
  <c r="A15" i="4" s="1"/>
  <c r="E14" i="4"/>
  <c r="A14" i="4" s="1"/>
  <c r="E13" i="4"/>
  <c r="E12" i="4"/>
  <c r="A12" i="4" s="1"/>
  <c r="E11" i="4"/>
  <c r="A11" i="4" s="1"/>
  <c r="E10" i="4"/>
  <c r="E9" i="4"/>
  <c r="A9" i="4" s="1"/>
  <c r="E8" i="4"/>
  <c r="A8" i="4" s="1"/>
  <c r="E7" i="4"/>
  <c r="E6" i="4"/>
  <c r="E5" i="4"/>
  <c r="A5" i="4" s="1"/>
  <c r="E4" i="4"/>
  <c r="A4" i="4" s="1"/>
  <c r="E3" i="4"/>
  <c r="A3" i="4" s="1"/>
  <c r="E2" i="4"/>
  <c r="A18" i="4"/>
  <c r="A13" i="4"/>
  <c r="A10" i="4"/>
  <c r="A7" i="4"/>
  <c r="A6" i="4"/>
  <c r="A2" i="4"/>
  <c r="A32" i="4" l="1"/>
  <c r="A27" i="4"/>
</calcChain>
</file>

<file path=xl/sharedStrings.xml><?xml version="1.0" encoding="utf-8"?>
<sst xmlns="http://schemas.openxmlformats.org/spreadsheetml/2006/main" count="20" uniqueCount="8">
  <si>
    <t>Interference rate</t>
  </si>
  <si>
    <t>Spacer</t>
    <phoneticPr fontId="1" type="noConversion"/>
  </si>
  <si>
    <t>+CB</t>
    <phoneticPr fontId="1" type="noConversion"/>
  </si>
  <si>
    <t>-CB</t>
    <phoneticPr fontId="1" type="noConversion"/>
  </si>
  <si>
    <t>Empty</t>
  </si>
  <si>
    <t>Empty</t>
    <phoneticPr fontId="1" type="noConversion"/>
  </si>
  <si>
    <t>Spacer</t>
  </si>
  <si>
    <t>Interference_rate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</si>
</sst>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BF1E-250A-49A4-A526-FED5A21268FB}">
  <dimension ref="A1:B34"/>
  <sheetViews>
    <sheetView workbookViewId="0">
      <selection activeCell="A2" sqref="A2"/>
    </sheetView>
  </sheetViews>
  <sheetFormatPr defaultRowHeight="13.8" x14ac:dyDescent="0.4"/>
  <cols>
    <col min="1" max="16384" width="8.796875" style="1"/>
  </cols>
  <sheetData>
    <row r="1" spans="1:2" x14ac:dyDescent="0.4">
      <c r="A1" s="1" t="s">
        <v>7</v>
      </c>
      <c r="B1" s="1" t="s">
        <v>6</v>
      </c>
    </row>
    <row r="2" spans="1:2" x14ac:dyDescent="0.4">
      <c r="A2" s="1">
        <v>46666.666666666664</v>
      </c>
      <c r="B2" s="1">
        <v>33</v>
      </c>
    </row>
    <row r="3" spans="1:2" x14ac:dyDescent="0.4">
      <c r="A3" s="1">
        <v>17500</v>
      </c>
      <c r="B3" s="1">
        <v>33</v>
      </c>
    </row>
    <row r="4" spans="1:2" x14ac:dyDescent="0.4">
      <c r="A4" s="1">
        <v>125000</v>
      </c>
      <c r="B4" s="1">
        <v>33</v>
      </c>
    </row>
    <row r="5" spans="1:2" x14ac:dyDescent="0.4">
      <c r="A5" s="1">
        <v>5500</v>
      </c>
      <c r="B5" s="1">
        <v>57</v>
      </c>
    </row>
    <row r="6" spans="1:2" x14ac:dyDescent="0.4">
      <c r="A6" s="1">
        <v>8000</v>
      </c>
      <c r="B6" s="1">
        <v>57</v>
      </c>
    </row>
    <row r="7" spans="1:2" x14ac:dyDescent="0.4">
      <c r="A7" s="1">
        <v>6000</v>
      </c>
      <c r="B7" s="1">
        <v>57</v>
      </c>
    </row>
    <row r="8" spans="1:2" x14ac:dyDescent="0.4">
      <c r="A8" s="1">
        <v>4333.333333333333</v>
      </c>
      <c r="B8" s="1">
        <v>105</v>
      </c>
    </row>
    <row r="9" spans="1:2" x14ac:dyDescent="0.4">
      <c r="A9" s="1">
        <v>16500</v>
      </c>
      <c r="B9" s="1">
        <v>105</v>
      </c>
    </row>
    <row r="10" spans="1:2" x14ac:dyDescent="0.4">
      <c r="A10" s="1">
        <v>6333.333333333333</v>
      </c>
      <c r="B10" s="1">
        <v>105</v>
      </c>
    </row>
    <row r="11" spans="1:2" x14ac:dyDescent="0.4">
      <c r="A11" s="1">
        <v>30000</v>
      </c>
      <c r="B11" s="1">
        <v>129</v>
      </c>
    </row>
    <row r="12" spans="1:2" x14ac:dyDescent="0.4">
      <c r="A12" s="1">
        <v>17000</v>
      </c>
      <c r="B12" s="1">
        <v>129</v>
      </c>
    </row>
    <row r="13" spans="1:2" x14ac:dyDescent="0.4">
      <c r="A13" s="1">
        <v>50000</v>
      </c>
      <c r="B13" s="1">
        <v>129</v>
      </c>
    </row>
    <row r="14" spans="1:2" x14ac:dyDescent="0.4">
      <c r="A14" s="1">
        <v>3928.5714285714284</v>
      </c>
      <c r="B14" s="1">
        <v>153</v>
      </c>
    </row>
    <row r="15" spans="1:2" x14ac:dyDescent="0.4">
      <c r="A15" s="1">
        <v>4000</v>
      </c>
      <c r="B15" s="1">
        <v>153</v>
      </c>
    </row>
    <row r="16" spans="1:2" x14ac:dyDescent="0.4">
      <c r="A16" s="1">
        <v>5238.0952380952385</v>
      </c>
      <c r="B16" s="1">
        <v>153</v>
      </c>
    </row>
    <row r="17" spans="1:2" x14ac:dyDescent="0.4">
      <c r="A17" s="1">
        <v>764.70588235294122</v>
      </c>
      <c r="B17" s="1">
        <v>177</v>
      </c>
    </row>
    <row r="18" spans="1:2" x14ac:dyDescent="0.4">
      <c r="A18" s="1">
        <v>1666.6666666666667</v>
      </c>
      <c r="B18" s="1">
        <v>177</v>
      </c>
    </row>
    <row r="19" spans="1:2" x14ac:dyDescent="0.4">
      <c r="A19" s="1">
        <v>809.52380952380952</v>
      </c>
      <c r="B19" s="1">
        <v>177</v>
      </c>
    </row>
    <row r="20" spans="1:2" x14ac:dyDescent="0.4">
      <c r="A20" s="1">
        <v>777.77777777777783</v>
      </c>
      <c r="B20" s="1">
        <v>189</v>
      </c>
    </row>
    <row r="21" spans="1:2" x14ac:dyDescent="0.4">
      <c r="A21" s="1">
        <v>1428.5714285714287</v>
      </c>
      <c r="B21" s="1">
        <v>189</v>
      </c>
    </row>
    <row r="22" spans="1:2" x14ac:dyDescent="0.4">
      <c r="A22" s="1">
        <v>183.33333333333334</v>
      </c>
      <c r="B22" s="1">
        <v>189</v>
      </c>
    </row>
    <row r="23" spans="1:2" x14ac:dyDescent="0.4">
      <c r="A23" s="1">
        <v>61.764705882352942</v>
      </c>
      <c r="B23" s="1">
        <v>201</v>
      </c>
    </row>
    <row r="24" spans="1:2" x14ac:dyDescent="0.4">
      <c r="A24" s="1">
        <v>42.5</v>
      </c>
      <c r="B24" s="1">
        <v>201</v>
      </c>
    </row>
    <row r="25" spans="1:2" x14ac:dyDescent="0.4">
      <c r="A25" s="1">
        <v>33.333333333333336</v>
      </c>
      <c r="B25" s="1">
        <v>201</v>
      </c>
    </row>
    <row r="26" spans="1:2" x14ac:dyDescent="0.4">
      <c r="A26" s="1">
        <v>16.923076923076923</v>
      </c>
      <c r="B26" s="1">
        <v>225</v>
      </c>
    </row>
    <row r="27" spans="1:2" x14ac:dyDescent="0.4">
      <c r="A27" s="1">
        <v>5.8</v>
      </c>
      <c r="B27" s="1">
        <v>225</v>
      </c>
    </row>
    <row r="28" spans="1:2" x14ac:dyDescent="0.4">
      <c r="A28" s="1">
        <v>6.3636363636363633</v>
      </c>
      <c r="B28" s="1">
        <v>225</v>
      </c>
    </row>
    <row r="29" spans="1:2" x14ac:dyDescent="0.4">
      <c r="A29" s="1">
        <v>1000</v>
      </c>
      <c r="B29" s="1">
        <v>309</v>
      </c>
    </row>
    <row r="30" spans="1:2" x14ac:dyDescent="0.4">
      <c r="A30" s="1">
        <v>384.61538461538464</v>
      </c>
      <c r="B30" s="1">
        <v>309</v>
      </c>
    </row>
    <row r="31" spans="1:2" x14ac:dyDescent="0.4">
      <c r="A31" s="1">
        <v>605.26315789473688</v>
      </c>
      <c r="B31" s="1">
        <v>309</v>
      </c>
    </row>
    <row r="32" spans="1:2" x14ac:dyDescent="0.4">
      <c r="A32" s="1">
        <v>2.5</v>
      </c>
      <c r="B32" s="1">
        <v>417</v>
      </c>
    </row>
    <row r="33" spans="1:2" x14ac:dyDescent="0.4">
      <c r="A33" s="1">
        <v>1.1538461538461537</v>
      </c>
      <c r="B33" s="1">
        <v>417</v>
      </c>
    </row>
    <row r="34" spans="1:2" x14ac:dyDescent="0.4">
      <c r="A34" s="1">
        <v>1.8125</v>
      </c>
      <c r="B34" s="1">
        <v>417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ABB6-AF8B-4365-A5C6-82C59A403F3E}">
  <dimension ref="A1:B4"/>
  <sheetViews>
    <sheetView tabSelected="1" workbookViewId="0">
      <selection activeCell="A2" sqref="A2"/>
    </sheetView>
  </sheetViews>
  <sheetFormatPr defaultRowHeight="13.8" x14ac:dyDescent="0.4"/>
  <cols>
    <col min="1" max="16384" width="8.796875" style="1"/>
  </cols>
  <sheetData>
    <row r="1" spans="1:2" x14ac:dyDescent="0.4">
      <c r="A1" s="1" t="s">
        <v>7</v>
      </c>
      <c r="B1" s="1" t="s">
        <v>6</v>
      </c>
    </row>
    <row r="2" spans="1:2" x14ac:dyDescent="0.4">
      <c r="A2" s="1">
        <v>1.4444444444444444</v>
      </c>
      <c r="B2" s="1" t="s">
        <v>4</v>
      </c>
    </row>
    <row r="3" spans="1:2" x14ac:dyDescent="0.4">
      <c r="A3" s="1">
        <v>0.44</v>
      </c>
      <c r="B3" s="1" t="s">
        <v>4</v>
      </c>
    </row>
    <row r="4" spans="1:2" x14ac:dyDescent="0.4">
      <c r="A4" s="1">
        <v>1.2857142857142858</v>
      </c>
      <c r="B4" s="1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opLeftCell="A13" workbookViewId="0">
      <selection activeCell="D39" sqref="D39"/>
    </sheetView>
  </sheetViews>
  <sheetFormatPr defaultRowHeight="13.8" x14ac:dyDescent="0.4"/>
  <cols>
    <col min="1" max="1" width="9.796875" style="1" bestFit="1" customWidth="1"/>
    <col min="2" max="16384" width="8.796875" style="1"/>
  </cols>
  <sheetData>
    <row r="1" spans="1:3" x14ac:dyDescent="0.4">
      <c r="A1" s="1" t="s">
        <v>0</v>
      </c>
      <c r="B1" s="1" t="s">
        <v>6</v>
      </c>
      <c r="C1" s="1" t="s">
        <v>0</v>
      </c>
    </row>
    <row r="2" spans="1:3" x14ac:dyDescent="0.4">
      <c r="A2" s="1">
        <v>46666.666666666664</v>
      </c>
      <c r="B2" s="1">
        <v>33</v>
      </c>
      <c r="C2" s="1">
        <v>46666.666666666664</v>
      </c>
    </row>
    <row r="3" spans="1:3" x14ac:dyDescent="0.4">
      <c r="A3" s="1">
        <v>17500</v>
      </c>
      <c r="B3" s="1">
        <v>33</v>
      </c>
      <c r="C3" s="1">
        <v>17500</v>
      </c>
    </row>
    <row r="4" spans="1:3" x14ac:dyDescent="0.4">
      <c r="A4" s="1">
        <v>125000</v>
      </c>
      <c r="B4" s="1">
        <v>33</v>
      </c>
      <c r="C4" s="1">
        <v>125000</v>
      </c>
    </row>
    <row r="5" spans="1:3" x14ac:dyDescent="0.4">
      <c r="A5" s="1">
        <v>5500</v>
      </c>
      <c r="B5" s="1">
        <v>57</v>
      </c>
      <c r="C5" s="1">
        <v>5500</v>
      </c>
    </row>
    <row r="6" spans="1:3" x14ac:dyDescent="0.4">
      <c r="A6" s="1">
        <v>8000</v>
      </c>
      <c r="B6" s="1">
        <v>57</v>
      </c>
      <c r="C6" s="1">
        <v>8000</v>
      </c>
    </row>
    <row r="7" spans="1:3" x14ac:dyDescent="0.4">
      <c r="A7" s="1">
        <v>6000</v>
      </c>
      <c r="B7" s="1">
        <v>57</v>
      </c>
      <c r="C7" s="1">
        <v>6000</v>
      </c>
    </row>
    <row r="8" spans="1:3" x14ac:dyDescent="0.4">
      <c r="A8" s="1">
        <v>4333.333333333333</v>
      </c>
      <c r="B8" s="1">
        <v>105</v>
      </c>
      <c r="C8" s="1">
        <v>4333.333333333333</v>
      </c>
    </row>
    <row r="9" spans="1:3" x14ac:dyDescent="0.4">
      <c r="A9" s="1">
        <v>16500</v>
      </c>
      <c r="B9" s="1">
        <v>105</v>
      </c>
      <c r="C9" s="1">
        <v>16500</v>
      </c>
    </row>
    <row r="10" spans="1:3" x14ac:dyDescent="0.4">
      <c r="A10" s="1">
        <v>6333.333333333333</v>
      </c>
      <c r="B10" s="1">
        <v>105</v>
      </c>
      <c r="C10" s="1">
        <v>6333.333333333333</v>
      </c>
    </row>
    <row r="11" spans="1:3" x14ac:dyDescent="0.4">
      <c r="A11" s="1">
        <v>30000</v>
      </c>
      <c r="B11" s="1">
        <v>129</v>
      </c>
      <c r="C11" s="1">
        <v>30000</v>
      </c>
    </row>
    <row r="12" spans="1:3" x14ac:dyDescent="0.4">
      <c r="A12" s="1">
        <v>17000</v>
      </c>
      <c r="B12" s="1">
        <v>129</v>
      </c>
      <c r="C12" s="1">
        <v>17000</v>
      </c>
    </row>
    <row r="13" spans="1:3" x14ac:dyDescent="0.4">
      <c r="A13" s="1">
        <v>50000</v>
      </c>
      <c r="B13" s="1">
        <v>129</v>
      </c>
      <c r="C13" s="1">
        <v>50000</v>
      </c>
    </row>
    <row r="14" spans="1:3" x14ac:dyDescent="0.4">
      <c r="A14" s="1">
        <v>3928.5714285714284</v>
      </c>
      <c r="B14" s="1">
        <v>153</v>
      </c>
      <c r="C14" s="1">
        <v>3928.5714285714284</v>
      </c>
    </row>
    <row r="15" spans="1:3" x14ac:dyDescent="0.4">
      <c r="A15" s="1">
        <v>4000</v>
      </c>
      <c r="B15" s="1">
        <v>153</v>
      </c>
      <c r="C15" s="1">
        <v>4000</v>
      </c>
    </row>
    <row r="16" spans="1:3" x14ac:dyDescent="0.4">
      <c r="A16" s="1">
        <v>5238.0952380952385</v>
      </c>
      <c r="B16" s="1">
        <v>153</v>
      </c>
      <c r="C16" s="1">
        <v>5238.0952380952385</v>
      </c>
    </row>
    <row r="17" spans="1:3" x14ac:dyDescent="0.4">
      <c r="A17" s="1">
        <v>764.70588235294122</v>
      </c>
      <c r="B17" s="1">
        <v>177</v>
      </c>
      <c r="C17" s="1">
        <v>764.70588235294122</v>
      </c>
    </row>
    <row r="18" spans="1:3" x14ac:dyDescent="0.4">
      <c r="A18" s="1">
        <v>1666.6666666666667</v>
      </c>
      <c r="B18" s="1">
        <v>177</v>
      </c>
      <c r="C18" s="1">
        <v>1666.6666666666667</v>
      </c>
    </row>
    <row r="19" spans="1:3" x14ac:dyDescent="0.4">
      <c r="A19" s="1">
        <v>809.52380952380952</v>
      </c>
      <c r="B19" s="1">
        <v>177</v>
      </c>
      <c r="C19" s="1">
        <v>809.52380952380952</v>
      </c>
    </row>
    <row r="20" spans="1:3" x14ac:dyDescent="0.4">
      <c r="A20" s="1">
        <v>777.77777777777783</v>
      </c>
      <c r="B20" s="1">
        <v>189</v>
      </c>
      <c r="C20" s="1">
        <v>777.77777777777783</v>
      </c>
    </row>
    <row r="21" spans="1:3" x14ac:dyDescent="0.4">
      <c r="A21" s="1">
        <v>1428.5714285714287</v>
      </c>
      <c r="B21" s="1">
        <v>189</v>
      </c>
      <c r="C21" s="1">
        <v>1428.5714285714287</v>
      </c>
    </row>
    <row r="22" spans="1:3" x14ac:dyDescent="0.4">
      <c r="A22" s="1">
        <v>183.33333333333334</v>
      </c>
      <c r="B22" s="1">
        <v>189</v>
      </c>
      <c r="C22" s="1">
        <v>183.33333333333334</v>
      </c>
    </row>
    <row r="23" spans="1:3" x14ac:dyDescent="0.4">
      <c r="A23" s="1">
        <v>61.764705882352942</v>
      </c>
      <c r="B23" s="1">
        <v>201</v>
      </c>
      <c r="C23" s="1">
        <v>61.764705882352942</v>
      </c>
    </row>
    <row r="24" spans="1:3" x14ac:dyDescent="0.4">
      <c r="A24" s="1">
        <v>42.5</v>
      </c>
      <c r="B24" s="1">
        <v>201</v>
      </c>
      <c r="C24" s="1">
        <v>42.5</v>
      </c>
    </row>
    <row r="25" spans="1:3" x14ac:dyDescent="0.4">
      <c r="A25" s="1">
        <v>33.333333333333336</v>
      </c>
      <c r="B25" s="1">
        <v>201</v>
      </c>
      <c r="C25" s="1">
        <v>33.333333333333336</v>
      </c>
    </row>
    <row r="26" spans="1:3" x14ac:dyDescent="0.4">
      <c r="A26" s="1">
        <v>16.923076923076923</v>
      </c>
      <c r="B26" s="1">
        <v>225</v>
      </c>
      <c r="C26" s="1">
        <v>16.923076923076923</v>
      </c>
    </row>
    <row r="27" spans="1:3" x14ac:dyDescent="0.4">
      <c r="A27" s="1">
        <v>5.8</v>
      </c>
      <c r="B27" s="1">
        <v>225</v>
      </c>
      <c r="C27" s="1">
        <v>5.8</v>
      </c>
    </row>
    <row r="28" spans="1:3" x14ac:dyDescent="0.4">
      <c r="A28" s="1">
        <v>6.3636363636363633</v>
      </c>
      <c r="B28" s="1">
        <v>225</v>
      </c>
      <c r="C28" s="1">
        <v>6.3636363636363633</v>
      </c>
    </row>
    <row r="29" spans="1:3" x14ac:dyDescent="0.4">
      <c r="A29" s="1">
        <v>1000</v>
      </c>
      <c r="B29" s="1">
        <v>309</v>
      </c>
      <c r="C29" s="1">
        <v>1000</v>
      </c>
    </row>
    <row r="30" spans="1:3" x14ac:dyDescent="0.4">
      <c r="A30" s="1">
        <v>384.61538461538464</v>
      </c>
      <c r="B30" s="1">
        <v>309</v>
      </c>
      <c r="C30" s="1">
        <v>384.61538461538464</v>
      </c>
    </row>
    <row r="31" spans="1:3" x14ac:dyDescent="0.4">
      <c r="A31" s="1">
        <v>605.26315789473688</v>
      </c>
      <c r="B31" s="1">
        <v>309</v>
      </c>
      <c r="C31" s="1">
        <v>605.26315789473688</v>
      </c>
    </row>
    <row r="32" spans="1:3" x14ac:dyDescent="0.4">
      <c r="A32" s="1">
        <v>2.5</v>
      </c>
      <c r="B32" s="1">
        <v>417</v>
      </c>
      <c r="C32" s="1">
        <v>2.5</v>
      </c>
    </row>
    <row r="33" spans="1:3" x14ac:dyDescent="0.4">
      <c r="A33" s="1">
        <v>1.1538461538461537</v>
      </c>
      <c r="B33" s="1">
        <v>417</v>
      </c>
      <c r="C33" s="1">
        <v>1.1538461538461537</v>
      </c>
    </row>
    <row r="34" spans="1:3" x14ac:dyDescent="0.4">
      <c r="A34" s="1">
        <v>1.8125</v>
      </c>
      <c r="B34" s="1">
        <v>417</v>
      </c>
      <c r="C34" s="1">
        <v>1.8125</v>
      </c>
    </row>
    <row r="35" spans="1:3" x14ac:dyDescent="0.4">
      <c r="A35" s="1">
        <v>1.4444444444444444</v>
      </c>
      <c r="B35" s="1" t="s">
        <v>4</v>
      </c>
      <c r="C35" s="1">
        <v>1.4444444444444444</v>
      </c>
    </row>
    <row r="36" spans="1:3" x14ac:dyDescent="0.4">
      <c r="A36" s="1">
        <v>0.44</v>
      </c>
      <c r="B36" s="1" t="s">
        <v>4</v>
      </c>
      <c r="C36" s="1">
        <v>0.44</v>
      </c>
    </row>
    <row r="37" spans="1:3" x14ac:dyDescent="0.4">
      <c r="A37" s="1">
        <v>1.2857142857142858</v>
      </c>
      <c r="B37" s="1" t="s">
        <v>4</v>
      </c>
      <c r="C37" s="1">
        <v>1.2857142857142858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/>
  </sheetViews>
  <sheetFormatPr defaultRowHeight="13.8" x14ac:dyDescent="0.4"/>
  <cols>
    <col min="1" max="3" width="8.796875" style="1"/>
    <col min="4" max="5" width="9.3984375" style="1" bestFit="1" customWidth="1"/>
    <col min="6" max="16384" width="8.796875" style="1"/>
  </cols>
  <sheetData>
    <row r="1" spans="1:5" x14ac:dyDescent="0.4">
      <c r="A1" s="1" t="s">
        <v>0</v>
      </c>
      <c r="B1" s="1" t="s">
        <v>1</v>
      </c>
      <c r="D1" s="2" t="s">
        <v>2</v>
      </c>
      <c r="E1" s="2" t="s">
        <v>3</v>
      </c>
    </row>
    <row r="2" spans="1:5" x14ac:dyDescent="0.4">
      <c r="A2" s="1">
        <f>E2/D2</f>
        <v>46666.666666666664</v>
      </c>
      <c r="B2" s="1">
        <v>33</v>
      </c>
      <c r="D2" s="1">
        <v>30</v>
      </c>
      <c r="E2" s="1">
        <f>14*10^5</f>
        <v>1400000</v>
      </c>
    </row>
    <row r="3" spans="1:5" x14ac:dyDescent="0.4">
      <c r="A3" s="1">
        <f t="shared" ref="A3:A37" si="0">E3/D3</f>
        <v>17500</v>
      </c>
      <c r="B3" s="1">
        <v>33</v>
      </c>
      <c r="D3" s="1">
        <v>40</v>
      </c>
      <c r="E3" s="1">
        <f>7*10^5</f>
        <v>700000</v>
      </c>
    </row>
    <row r="4" spans="1:5" x14ac:dyDescent="0.4">
      <c r="A4" s="1">
        <f t="shared" si="0"/>
        <v>125000</v>
      </c>
      <c r="B4" s="1">
        <v>33</v>
      </c>
      <c r="D4" s="1">
        <v>20</v>
      </c>
      <c r="E4" s="1">
        <f>25*10^5</f>
        <v>2500000</v>
      </c>
    </row>
    <row r="5" spans="1:5" x14ac:dyDescent="0.4">
      <c r="A5" s="1">
        <f t="shared" si="0"/>
        <v>5500</v>
      </c>
      <c r="B5" s="1">
        <v>57</v>
      </c>
      <c r="D5" s="1">
        <v>200</v>
      </c>
      <c r="E5" s="1">
        <f>11*10^5</f>
        <v>1100000</v>
      </c>
    </row>
    <row r="6" spans="1:5" x14ac:dyDescent="0.4">
      <c r="A6" s="1">
        <f t="shared" si="0"/>
        <v>8000</v>
      </c>
      <c r="B6" s="1">
        <v>57</v>
      </c>
      <c r="D6" s="1">
        <v>300</v>
      </c>
      <c r="E6" s="1">
        <f>24*10^5</f>
        <v>2400000</v>
      </c>
    </row>
    <row r="7" spans="1:5" x14ac:dyDescent="0.4">
      <c r="A7" s="1">
        <f t="shared" si="0"/>
        <v>6000</v>
      </c>
      <c r="B7" s="1">
        <v>57</v>
      </c>
      <c r="D7" s="1">
        <v>300</v>
      </c>
      <c r="E7" s="1">
        <f>18*10^5</f>
        <v>1800000</v>
      </c>
    </row>
    <row r="8" spans="1:5" x14ac:dyDescent="0.4">
      <c r="A8" s="1">
        <f t="shared" si="0"/>
        <v>4333.333333333333</v>
      </c>
      <c r="B8" s="1">
        <v>105</v>
      </c>
      <c r="D8" s="1">
        <v>300</v>
      </c>
      <c r="E8" s="1">
        <f>13*10^5</f>
        <v>1300000</v>
      </c>
    </row>
    <row r="9" spans="1:5" x14ac:dyDescent="0.4">
      <c r="A9" s="1">
        <f t="shared" si="0"/>
        <v>16500</v>
      </c>
      <c r="B9" s="1">
        <v>105</v>
      </c>
      <c r="D9" s="1">
        <v>200</v>
      </c>
      <c r="E9" s="1">
        <f>33*10^5</f>
        <v>3300000</v>
      </c>
    </row>
    <row r="10" spans="1:5" x14ac:dyDescent="0.4">
      <c r="A10" s="1">
        <f t="shared" si="0"/>
        <v>6333.333333333333</v>
      </c>
      <c r="B10" s="1">
        <v>105</v>
      </c>
      <c r="D10" s="1">
        <v>300</v>
      </c>
      <c r="E10" s="1">
        <f>19*10^5</f>
        <v>1900000</v>
      </c>
    </row>
    <row r="11" spans="1:5" x14ac:dyDescent="0.4">
      <c r="A11" s="1">
        <f t="shared" si="0"/>
        <v>30000</v>
      </c>
      <c r="B11" s="1">
        <v>129</v>
      </c>
      <c r="D11" s="1">
        <v>70</v>
      </c>
      <c r="E11" s="1">
        <f>21*10^5</f>
        <v>2100000</v>
      </c>
    </row>
    <row r="12" spans="1:5" x14ac:dyDescent="0.4">
      <c r="A12" s="1">
        <f t="shared" si="0"/>
        <v>17000</v>
      </c>
      <c r="B12" s="1">
        <v>129</v>
      </c>
      <c r="D12" s="1">
        <v>100</v>
      </c>
      <c r="E12" s="1">
        <f>17*10^5</f>
        <v>1700000</v>
      </c>
    </row>
    <row r="13" spans="1:5" x14ac:dyDescent="0.4">
      <c r="A13" s="1">
        <f t="shared" si="0"/>
        <v>50000</v>
      </c>
      <c r="B13" s="1">
        <v>129</v>
      </c>
      <c r="D13" s="1">
        <v>50</v>
      </c>
      <c r="E13" s="1">
        <f>25*10^5</f>
        <v>2500000</v>
      </c>
    </row>
    <row r="14" spans="1:5" x14ac:dyDescent="0.4">
      <c r="A14" s="1">
        <f t="shared" si="0"/>
        <v>3928.5714285714284</v>
      </c>
      <c r="B14" s="1">
        <v>153</v>
      </c>
      <c r="D14" s="1">
        <v>280</v>
      </c>
      <c r="E14" s="1">
        <f>11*10^5</f>
        <v>1100000</v>
      </c>
    </row>
    <row r="15" spans="1:5" x14ac:dyDescent="0.4">
      <c r="A15" s="1">
        <f t="shared" si="0"/>
        <v>4000</v>
      </c>
      <c r="B15" s="1">
        <v>153</v>
      </c>
      <c r="D15" s="1">
        <v>250</v>
      </c>
      <c r="E15" s="1">
        <f>10*10^5</f>
        <v>1000000</v>
      </c>
    </row>
    <row r="16" spans="1:5" x14ac:dyDescent="0.4">
      <c r="A16" s="1">
        <f t="shared" si="0"/>
        <v>5238.0952380952385</v>
      </c>
      <c r="B16" s="1">
        <v>153</v>
      </c>
      <c r="D16" s="1">
        <v>210</v>
      </c>
      <c r="E16" s="1">
        <f>11*10^5</f>
        <v>1100000</v>
      </c>
    </row>
    <row r="17" spans="1:5" x14ac:dyDescent="0.4">
      <c r="A17" s="1">
        <f t="shared" si="0"/>
        <v>764.70588235294122</v>
      </c>
      <c r="B17" s="1">
        <v>177</v>
      </c>
      <c r="D17" s="1">
        <v>1700</v>
      </c>
      <c r="E17" s="1">
        <f>13*10^5</f>
        <v>1300000</v>
      </c>
    </row>
    <row r="18" spans="1:5" x14ac:dyDescent="0.4">
      <c r="A18" s="1">
        <f t="shared" si="0"/>
        <v>1666.6666666666667</v>
      </c>
      <c r="B18" s="1">
        <v>177</v>
      </c>
      <c r="D18" s="1">
        <v>1500</v>
      </c>
      <c r="E18" s="1">
        <f>25*10^5</f>
        <v>2500000</v>
      </c>
    </row>
    <row r="19" spans="1:5" x14ac:dyDescent="0.4">
      <c r="A19" s="1">
        <f t="shared" si="0"/>
        <v>809.52380952380952</v>
      </c>
      <c r="B19" s="1">
        <v>177</v>
      </c>
      <c r="D19" s="1">
        <v>2100</v>
      </c>
      <c r="E19" s="1">
        <f>17*10^5</f>
        <v>1700000</v>
      </c>
    </row>
    <row r="20" spans="1:5" x14ac:dyDescent="0.4">
      <c r="A20" s="1">
        <f t="shared" si="0"/>
        <v>777.77777777777783</v>
      </c>
      <c r="B20" s="1">
        <v>189</v>
      </c>
      <c r="D20" s="1">
        <f>18*10^2</f>
        <v>1800</v>
      </c>
      <c r="E20" s="1">
        <f>14*10^5</f>
        <v>1400000</v>
      </c>
    </row>
    <row r="21" spans="1:5" x14ac:dyDescent="0.4">
      <c r="A21" s="1">
        <f t="shared" si="0"/>
        <v>1428.5714285714287</v>
      </c>
      <c r="B21" s="1">
        <v>189</v>
      </c>
      <c r="D21" s="1">
        <f>21*10^2</f>
        <v>2100</v>
      </c>
      <c r="E21" s="1">
        <f>3*10^6</f>
        <v>3000000</v>
      </c>
    </row>
    <row r="22" spans="1:5" x14ac:dyDescent="0.4">
      <c r="A22" s="1">
        <f t="shared" si="0"/>
        <v>183.33333333333334</v>
      </c>
      <c r="B22" s="1">
        <v>189</v>
      </c>
      <c r="D22" s="1">
        <f>6000</f>
        <v>6000</v>
      </c>
      <c r="E22" s="1">
        <f>11*10^5</f>
        <v>1100000</v>
      </c>
    </row>
    <row r="23" spans="1:5" x14ac:dyDescent="0.4">
      <c r="A23" s="1">
        <f t="shared" si="0"/>
        <v>61.764705882352942</v>
      </c>
      <c r="B23" s="1">
        <v>201</v>
      </c>
      <c r="D23" s="1">
        <f>34*10^3</f>
        <v>34000</v>
      </c>
      <c r="E23" s="1">
        <f>21*10^5</f>
        <v>2100000</v>
      </c>
    </row>
    <row r="24" spans="1:5" x14ac:dyDescent="0.4">
      <c r="A24" s="1">
        <f t="shared" si="0"/>
        <v>42.5</v>
      </c>
      <c r="B24" s="1">
        <v>201</v>
      </c>
      <c r="D24" s="1">
        <f>8*10^4</f>
        <v>80000</v>
      </c>
      <c r="E24" s="1">
        <f>34*10^5</f>
        <v>3400000</v>
      </c>
    </row>
    <row r="25" spans="1:5" x14ac:dyDescent="0.4">
      <c r="A25" s="1">
        <f t="shared" si="0"/>
        <v>33.333333333333336</v>
      </c>
      <c r="B25" s="1">
        <v>201</v>
      </c>
      <c r="D25" s="1">
        <f>27*10^3</f>
        <v>27000</v>
      </c>
      <c r="E25" s="1">
        <f>9*10^5</f>
        <v>900000</v>
      </c>
    </row>
    <row r="26" spans="1:5" x14ac:dyDescent="0.4">
      <c r="A26" s="1">
        <f t="shared" si="0"/>
        <v>16.923076923076923</v>
      </c>
      <c r="B26" s="1">
        <v>225</v>
      </c>
      <c r="D26" s="1">
        <f>13*10^4</f>
        <v>130000</v>
      </c>
      <c r="E26" s="1">
        <f>22*10^5</f>
        <v>2200000</v>
      </c>
    </row>
    <row r="27" spans="1:5" x14ac:dyDescent="0.4">
      <c r="A27" s="1">
        <f t="shared" si="0"/>
        <v>5.8</v>
      </c>
      <c r="B27" s="1">
        <v>225</v>
      </c>
      <c r="D27" s="1">
        <f>5*10^5</f>
        <v>500000</v>
      </c>
      <c r="E27" s="1">
        <f>29*10^5</f>
        <v>2900000</v>
      </c>
    </row>
    <row r="28" spans="1:5" x14ac:dyDescent="0.4">
      <c r="A28" s="1">
        <f t="shared" si="0"/>
        <v>6.3636363636363633</v>
      </c>
      <c r="B28" s="1">
        <v>225</v>
      </c>
      <c r="D28" s="1">
        <f>11*10^5</f>
        <v>1100000</v>
      </c>
      <c r="E28" s="1">
        <f>7*10^6</f>
        <v>7000000</v>
      </c>
    </row>
    <row r="29" spans="1:5" x14ac:dyDescent="0.4">
      <c r="A29" s="1">
        <f t="shared" si="0"/>
        <v>1000</v>
      </c>
      <c r="B29" s="1">
        <v>309</v>
      </c>
      <c r="D29" s="1">
        <v>1400</v>
      </c>
      <c r="E29" s="1">
        <f>14*10^5</f>
        <v>1400000</v>
      </c>
    </row>
    <row r="30" spans="1:5" x14ac:dyDescent="0.4">
      <c r="A30" s="1">
        <f t="shared" si="0"/>
        <v>384.61538461538464</v>
      </c>
      <c r="B30" s="1">
        <v>309</v>
      </c>
      <c r="D30" s="1">
        <v>3900</v>
      </c>
      <c r="E30" s="1">
        <f>15*10^5</f>
        <v>1500000</v>
      </c>
    </row>
    <row r="31" spans="1:5" x14ac:dyDescent="0.4">
      <c r="A31" s="1">
        <f t="shared" si="0"/>
        <v>605.26315789473688</v>
      </c>
      <c r="B31" s="1">
        <v>309</v>
      </c>
      <c r="D31" s="1">
        <v>3800</v>
      </c>
      <c r="E31" s="1">
        <f>23*10^5</f>
        <v>2300000</v>
      </c>
    </row>
    <row r="32" spans="1:5" x14ac:dyDescent="0.4">
      <c r="A32" s="1">
        <f t="shared" si="0"/>
        <v>2.5</v>
      </c>
      <c r="B32" s="1">
        <v>417</v>
      </c>
      <c r="D32" s="1">
        <f>16*10^5</f>
        <v>1600000</v>
      </c>
      <c r="E32" s="1">
        <f>4*10^6</f>
        <v>4000000</v>
      </c>
    </row>
    <row r="33" spans="1:5" x14ac:dyDescent="0.4">
      <c r="A33" s="1">
        <f t="shared" si="0"/>
        <v>1.1538461538461537</v>
      </c>
      <c r="B33" s="1">
        <v>417</v>
      </c>
      <c r="D33" s="1">
        <f>26*10^5</f>
        <v>2600000</v>
      </c>
      <c r="E33" s="1">
        <f>3*10^6</f>
        <v>3000000</v>
      </c>
    </row>
    <row r="34" spans="1:5" x14ac:dyDescent="0.4">
      <c r="A34" s="1">
        <f t="shared" si="0"/>
        <v>1.8125</v>
      </c>
      <c r="B34" s="1">
        <v>417</v>
      </c>
      <c r="D34" s="1">
        <f>16*10^5</f>
        <v>1600000</v>
      </c>
      <c r="E34" s="1">
        <f>29*10^5</f>
        <v>2900000</v>
      </c>
    </row>
    <row r="35" spans="1:5" x14ac:dyDescent="0.4">
      <c r="A35" s="1">
        <f t="shared" si="0"/>
        <v>1.4444444444444444</v>
      </c>
      <c r="B35" s="1" t="s">
        <v>5</v>
      </c>
      <c r="D35" s="1">
        <f>18*10^5</f>
        <v>1800000</v>
      </c>
      <c r="E35" s="1">
        <f>26*10^5</f>
        <v>2600000</v>
      </c>
    </row>
    <row r="36" spans="1:5" x14ac:dyDescent="0.4">
      <c r="A36" s="1">
        <f t="shared" si="0"/>
        <v>0.44</v>
      </c>
      <c r="B36" s="1" t="s">
        <v>5</v>
      </c>
      <c r="D36" s="1">
        <f>25*10^5</f>
        <v>2500000</v>
      </c>
      <c r="E36" s="1">
        <f>11*10^5</f>
        <v>1100000</v>
      </c>
    </row>
    <row r="37" spans="1:5" x14ac:dyDescent="0.4">
      <c r="A37" s="1">
        <f t="shared" si="0"/>
        <v>1.2857142857142858</v>
      </c>
      <c r="B37" s="1" t="s">
        <v>5</v>
      </c>
      <c r="D37" s="1">
        <f>14*10^5</f>
        <v>1400000</v>
      </c>
      <c r="E37" s="1">
        <f>18*10^5</f>
        <v>1800000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33-417nt</vt:lpstr>
      <vt:lpstr>nocrRNA</vt:lpstr>
      <vt:lpstr>All_data</vt:lpstr>
      <vt:lpstr>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chanwoo lee</dc:creator>
  <cp:lastModifiedBy>Chanwoo Lee</cp:lastModifiedBy>
  <dcterms:created xsi:type="dcterms:W3CDTF">2021-06-02T04:13:35Z</dcterms:created>
  <dcterms:modified xsi:type="dcterms:W3CDTF">2025-08-28T06:41:32Z</dcterms:modified>
</cp:coreProperties>
</file>