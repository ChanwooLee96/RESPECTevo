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36c92d0988cb4a1/python/RESPECTevo-Code_Rawdata/2_Plotting_Statistics/2_Cas3_interference/rawdata_zip/"/>
    </mc:Choice>
  </mc:AlternateContent>
  <xr:revisionPtr revIDLastSave="1015" documentId="11_119C83C562D1BE6B0602390C1DE32FB8FF7F8D43" xr6:coauthVersionLast="47" xr6:coauthVersionMax="47" xr10:uidLastSave="{2C599BF0-EA53-4776-822D-6545C1BE107B}"/>
  <bookViews>
    <workbookView xWindow="36960" yWindow="960" windowWidth="21600" windowHeight="11235" activeTab="1" xr2:uid="{00000000-000D-0000-FFFF-FFFF00000000}"/>
  </bookViews>
  <sheets>
    <sheet name="Sheet1" sheetId="6" r:id="rId1"/>
    <sheet name="Sheet2" sheetId="7" r:id="rId2"/>
    <sheet name="Cas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" i="4" l="1"/>
  <c r="E6" i="4"/>
  <c r="E5" i="4"/>
  <c r="E4" i="4"/>
  <c r="E3" i="4"/>
  <c r="E2" i="4"/>
  <c r="D7" i="4"/>
  <c r="D6" i="4"/>
  <c r="D5" i="4"/>
  <c r="D4" i="4"/>
  <c r="D3" i="4"/>
  <c r="D2" i="4"/>
  <c r="E55" i="4"/>
  <c r="A55" i="4" s="1"/>
  <c r="E54" i="4"/>
  <c r="A54" i="4" s="1"/>
  <c r="E53" i="4"/>
  <c r="E52" i="4"/>
  <c r="E51" i="4"/>
  <c r="E50" i="4"/>
  <c r="A50" i="4" s="1"/>
  <c r="A53" i="4"/>
  <c r="A52" i="4"/>
  <c r="A51" i="4"/>
  <c r="A49" i="4"/>
  <c r="A48" i="4"/>
  <c r="A47" i="4"/>
  <c r="A46" i="4"/>
  <c r="A45" i="4"/>
  <c r="A44" i="4"/>
  <c r="E49" i="4"/>
  <c r="E48" i="4"/>
  <c r="E47" i="4"/>
  <c r="E46" i="4"/>
  <c r="E45" i="4"/>
  <c r="E44" i="4"/>
  <c r="D55" i="4"/>
  <c r="D54" i="4"/>
  <c r="D53" i="4"/>
  <c r="D52" i="4"/>
  <c r="D51" i="4"/>
  <c r="D50" i="4"/>
  <c r="D49" i="4"/>
  <c r="D48" i="4"/>
  <c r="D47" i="4"/>
  <c r="D46" i="4"/>
  <c r="D45" i="4"/>
  <c r="D44" i="4"/>
  <c r="E43" i="4"/>
  <c r="A43" i="4" s="1"/>
  <c r="E42" i="4"/>
  <c r="E41" i="4"/>
  <c r="E40" i="4"/>
  <c r="E39" i="4"/>
  <c r="E38" i="4"/>
  <c r="D43" i="4"/>
  <c r="D42" i="4"/>
  <c r="A42" i="4" s="1"/>
  <c r="D41" i="4"/>
  <c r="A41" i="4" s="1"/>
  <c r="D40" i="4"/>
  <c r="D39" i="4"/>
  <c r="A39" i="4" s="1"/>
  <c r="D38" i="4"/>
  <c r="E37" i="4"/>
  <c r="E36" i="4"/>
  <c r="A36" i="4" s="1"/>
  <c r="E35" i="4"/>
  <c r="E34" i="4"/>
  <c r="A34" i="4" s="1"/>
  <c r="E33" i="4"/>
  <c r="E32" i="4"/>
  <c r="D37" i="4"/>
  <c r="D36" i="4"/>
  <c r="D35" i="4"/>
  <c r="D34" i="4"/>
  <c r="D33" i="4"/>
  <c r="D32" i="4"/>
  <c r="E31" i="4"/>
  <c r="E30" i="4"/>
  <c r="E29" i="4"/>
  <c r="E28" i="4"/>
  <c r="E27" i="4"/>
  <c r="E26" i="4"/>
  <c r="A26" i="4" s="1"/>
  <c r="D31" i="4"/>
  <c r="D30" i="4"/>
  <c r="A30" i="4" s="1"/>
  <c r="D29" i="4"/>
  <c r="A29" i="4" s="1"/>
  <c r="D28" i="4"/>
  <c r="D27" i="4"/>
  <c r="D26" i="4"/>
  <c r="E25" i="4"/>
  <c r="A25" i="4" s="1"/>
  <c r="E24" i="4"/>
  <c r="E23" i="4"/>
  <c r="A23" i="4" s="1"/>
  <c r="E22" i="4"/>
  <c r="A22" i="4" s="1"/>
  <c r="E21" i="4"/>
  <c r="E20" i="4"/>
  <c r="D25" i="4"/>
  <c r="D24" i="4"/>
  <c r="D23" i="4"/>
  <c r="D22" i="4"/>
  <c r="D21" i="4"/>
  <c r="D20" i="4"/>
  <c r="E19" i="4"/>
  <c r="E18" i="4"/>
  <c r="A18" i="4" s="1"/>
  <c r="E17" i="4"/>
  <c r="E16" i="4"/>
  <c r="E15" i="4"/>
  <c r="E14" i="4"/>
  <c r="A14" i="4" s="1"/>
  <c r="D19" i="4"/>
  <c r="D18" i="4"/>
  <c r="D17" i="4"/>
  <c r="A17" i="4" s="1"/>
  <c r="D16" i="4"/>
  <c r="D15" i="4"/>
  <c r="D14" i="4"/>
  <c r="A16" i="4"/>
  <c r="A13" i="4"/>
  <c r="A12" i="4"/>
  <c r="A10" i="4"/>
  <c r="A21" i="4"/>
  <c r="A40" i="4"/>
  <c r="A37" i="4"/>
  <c r="A38" i="4" l="1"/>
  <c r="A19" i="4"/>
  <c r="A15" i="4"/>
  <c r="A8" i="4"/>
  <c r="A27" i="4"/>
  <c r="A32" i="4"/>
  <c r="A24" i="4"/>
  <c r="A31" i="4"/>
  <c r="A35" i="4"/>
  <c r="A33" i="4"/>
  <c r="A11" i="4"/>
  <c r="A9" i="4"/>
  <c r="A28" i="4"/>
  <c r="A20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<sst xmlns="http://schemas.openxmlformats.org/spreadsheetml/2006/main" count="20" uniqueCount="8">
  <si>
    <t>Interference rate</t>
  </si>
  <si>
    <t>Spacer</t>
    <phoneticPr fontId="1" type="noConversion"/>
  </si>
  <si>
    <t>+CB</t>
    <phoneticPr fontId="1" type="noConversion"/>
  </si>
  <si>
    <t>-CB</t>
    <phoneticPr fontId="1" type="noConversion"/>
  </si>
  <si>
    <t>Spacer</t>
  </si>
  <si>
    <t>No mut</t>
  </si>
  <si>
    <t>No mut</t>
    <phoneticPr fontId="1" type="noConversion"/>
  </si>
  <si>
    <t>Interference_rate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</si>
</sst>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"/>
    <numFmt numFmtId="177" formatCode="0.0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176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BF1E-250A-49A4-A526-FED5A21268FB}">
  <dimension ref="A1:B55"/>
  <sheetViews>
    <sheetView workbookViewId="0">
      <selection activeCell="K10" sqref="K10"/>
    </sheetView>
  </sheetViews>
  <sheetFormatPr defaultRowHeight="13.8" x14ac:dyDescent="0.4"/>
  <cols>
    <col min="1" max="16384" width="8.796875" style="1"/>
  </cols>
  <sheetData>
    <row r="1" spans="1:2" x14ac:dyDescent="0.4">
      <c r="A1" s="1" t="s">
        <v>7</v>
      </c>
      <c r="B1" s="1" t="s">
        <v>4</v>
      </c>
    </row>
    <row r="8" spans="1:2" x14ac:dyDescent="0.4">
      <c r="A8" s="1">
        <v>1800</v>
      </c>
      <c r="B8" s="1">
        <v>57</v>
      </c>
    </row>
    <row r="9" spans="1:2" x14ac:dyDescent="0.4">
      <c r="A9" s="1">
        <v>1000</v>
      </c>
      <c r="B9" s="1">
        <v>57</v>
      </c>
    </row>
    <row r="10" spans="1:2" x14ac:dyDescent="0.4">
      <c r="A10" s="1">
        <v>800</v>
      </c>
      <c r="B10" s="1">
        <v>57</v>
      </c>
    </row>
    <row r="11" spans="1:2" x14ac:dyDescent="0.4">
      <c r="A11" s="1">
        <v>1857.1428571428571</v>
      </c>
      <c r="B11" s="1">
        <v>57</v>
      </c>
    </row>
    <row r="12" spans="1:2" x14ac:dyDescent="0.4">
      <c r="A12" s="1">
        <v>1055.5555555555557</v>
      </c>
      <c r="B12" s="1">
        <v>57</v>
      </c>
    </row>
    <row r="13" spans="1:2" x14ac:dyDescent="0.4">
      <c r="A13" s="1">
        <v>1583.3333333333333</v>
      </c>
      <c r="B13" s="1">
        <v>57</v>
      </c>
    </row>
    <row r="14" spans="1:2" x14ac:dyDescent="0.4">
      <c r="A14" s="1">
        <v>28.571428571428573</v>
      </c>
      <c r="B14" s="1">
        <v>105</v>
      </c>
    </row>
    <row r="15" spans="1:2" x14ac:dyDescent="0.4">
      <c r="A15" s="1">
        <v>86.206896551724142</v>
      </c>
      <c r="B15" s="1">
        <v>105</v>
      </c>
    </row>
    <row r="16" spans="1:2" x14ac:dyDescent="0.4">
      <c r="A16" s="1">
        <v>74.193548387096769</v>
      </c>
      <c r="B16" s="1">
        <v>105</v>
      </c>
    </row>
    <row r="17" spans="1:2" x14ac:dyDescent="0.4">
      <c r="A17" s="1">
        <v>42.307692307692307</v>
      </c>
      <c r="B17" s="1">
        <v>105</v>
      </c>
    </row>
    <row r="18" spans="1:2" x14ac:dyDescent="0.4">
      <c r="A18" s="1">
        <v>79.310344827586206</v>
      </c>
      <c r="B18" s="1">
        <v>105</v>
      </c>
    </row>
    <row r="19" spans="1:2" x14ac:dyDescent="0.4">
      <c r="A19" s="1">
        <v>66.666666666666671</v>
      </c>
      <c r="B19" s="1">
        <v>105</v>
      </c>
    </row>
    <row r="20" spans="1:2" x14ac:dyDescent="0.4">
      <c r="A20" s="1">
        <v>6.25</v>
      </c>
      <c r="B20" s="1">
        <v>153</v>
      </c>
    </row>
    <row r="21" spans="1:2" x14ac:dyDescent="0.4">
      <c r="A21" s="1">
        <v>31.111111111111111</v>
      </c>
      <c r="B21" s="1">
        <v>153</v>
      </c>
    </row>
    <row r="22" spans="1:2" x14ac:dyDescent="0.4">
      <c r="A22" s="1">
        <v>56.666666666666664</v>
      </c>
      <c r="B22" s="1">
        <v>153</v>
      </c>
    </row>
    <row r="23" spans="1:2" x14ac:dyDescent="0.4">
      <c r="A23" s="1">
        <v>18.333333333333332</v>
      </c>
      <c r="B23" s="1">
        <v>153</v>
      </c>
    </row>
    <row r="24" spans="1:2" x14ac:dyDescent="0.4">
      <c r="A24" s="1">
        <v>30</v>
      </c>
      <c r="B24" s="1">
        <v>153</v>
      </c>
    </row>
    <row r="25" spans="1:2" x14ac:dyDescent="0.4">
      <c r="A25" s="1">
        <v>20</v>
      </c>
      <c r="B25" s="1">
        <v>153</v>
      </c>
    </row>
    <row r="26" spans="1:2" x14ac:dyDescent="0.4">
      <c r="A26" s="1">
        <v>6</v>
      </c>
      <c r="B26" s="1">
        <v>177</v>
      </c>
    </row>
    <row r="27" spans="1:2" x14ac:dyDescent="0.4">
      <c r="A27" s="1">
        <v>13.333333333333334</v>
      </c>
      <c r="B27" s="1">
        <v>177</v>
      </c>
    </row>
    <row r="28" spans="1:2" x14ac:dyDescent="0.4">
      <c r="A28" s="1">
        <v>15</v>
      </c>
      <c r="B28" s="1">
        <v>177</v>
      </c>
    </row>
    <row r="29" spans="1:2" x14ac:dyDescent="0.4">
      <c r="A29" s="1">
        <v>26.875</v>
      </c>
      <c r="B29" s="1">
        <v>177</v>
      </c>
    </row>
    <row r="30" spans="1:2" x14ac:dyDescent="0.4">
      <c r="A30" s="1">
        <v>21.05263157894737</v>
      </c>
      <c r="B30" s="1">
        <v>177</v>
      </c>
    </row>
    <row r="31" spans="1:2" x14ac:dyDescent="0.4">
      <c r="A31" s="1">
        <v>43.75</v>
      </c>
      <c r="B31" s="1">
        <v>177</v>
      </c>
    </row>
    <row r="32" spans="1:2" x14ac:dyDescent="0.4">
      <c r="A32" s="1">
        <v>1.3043478260869565</v>
      </c>
      <c r="B32" s="1">
        <v>201</v>
      </c>
    </row>
    <row r="33" spans="1:2" x14ac:dyDescent="0.4">
      <c r="A33" s="1">
        <v>1.1818181818181819</v>
      </c>
      <c r="B33" s="1">
        <v>201</v>
      </c>
    </row>
    <row r="34" spans="1:2" x14ac:dyDescent="0.4">
      <c r="A34" s="1">
        <v>1.4</v>
      </c>
      <c r="B34" s="1">
        <v>201</v>
      </c>
    </row>
    <row r="35" spans="1:2" x14ac:dyDescent="0.4">
      <c r="A35" s="1">
        <v>3.5</v>
      </c>
      <c r="B35" s="1">
        <v>201</v>
      </c>
    </row>
    <row r="36" spans="1:2" x14ac:dyDescent="0.4">
      <c r="A36" s="1">
        <v>1.3333333333333333</v>
      </c>
      <c r="B36" s="1">
        <v>201</v>
      </c>
    </row>
    <row r="37" spans="1:2" x14ac:dyDescent="0.4">
      <c r="A37" s="1">
        <v>2.1428571428571428</v>
      </c>
      <c r="B37" s="1">
        <v>201</v>
      </c>
    </row>
    <row r="38" spans="1:2" x14ac:dyDescent="0.4">
      <c r="A38" s="1">
        <v>1</v>
      </c>
      <c r="B38" s="1">
        <v>261</v>
      </c>
    </row>
    <row r="39" spans="1:2" x14ac:dyDescent="0.4">
      <c r="A39" s="1">
        <v>1</v>
      </c>
      <c r="B39" s="1">
        <v>261</v>
      </c>
    </row>
    <row r="40" spans="1:2" x14ac:dyDescent="0.4">
      <c r="A40" s="1">
        <v>1.5</v>
      </c>
      <c r="B40" s="1">
        <v>261</v>
      </c>
    </row>
    <row r="41" spans="1:2" x14ac:dyDescent="0.4">
      <c r="A41" s="1">
        <v>2.2000000000000002</v>
      </c>
      <c r="B41" s="1">
        <v>261</v>
      </c>
    </row>
    <row r="42" spans="1:2" x14ac:dyDescent="0.4">
      <c r="A42" s="1">
        <v>1.25</v>
      </c>
      <c r="B42" s="1">
        <v>261</v>
      </c>
    </row>
    <row r="43" spans="1:2" x14ac:dyDescent="0.4">
      <c r="A43" s="1">
        <v>0.42857142857142855</v>
      </c>
      <c r="B43" s="1">
        <v>261</v>
      </c>
    </row>
    <row r="44" spans="1:2" x14ac:dyDescent="0.4">
      <c r="A44" s="1">
        <v>0.66666666666666663</v>
      </c>
      <c r="B44" s="1">
        <v>309</v>
      </c>
    </row>
    <row r="45" spans="1:2" x14ac:dyDescent="0.4">
      <c r="A45" s="1">
        <v>0.6</v>
      </c>
      <c r="B45" s="1">
        <v>309</v>
      </c>
    </row>
    <row r="46" spans="1:2" x14ac:dyDescent="0.4">
      <c r="A46" s="1">
        <v>0.4</v>
      </c>
      <c r="B46" s="1">
        <v>309</v>
      </c>
    </row>
    <row r="47" spans="1:2" x14ac:dyDescent="0.4">
      <c r="A47" s="1">
        <v>0.88888888888888884</v>
      </c>
      <c r="B47" s="1">
        <v>309</v>
      </c>
    </row>
    <row r="48" spans="1:2" x14ac:dyDescent="0.4">
      <c r="A48" s="1">
        <v>0.54545454545454541</v>
      </c>
      <c r="B48" s="1">
        <v>309</v>
      </c>
    </row>
    <row r="49" spans="1:2" x14ac:dyDescent="0.4">
      <c r="A49" s="1">
        <v>1.2222222222222223</v>
      </c>
      <c r="B49" s="1">
        <v>309</v>
      </c>
    </row>
    <row r="50" spans="1:2" x14ac:dyDescent="0.4">
      <c r="A50" s="1">
        <v>1.1428571428571428</v>
      </c>
      <c r="B50" s="1">
        <v>417</v>
      </c>
    </row>
    <row r="51" spans="1:2" x14ac:dyDescent="0.4">
      <c r="A51" s="1">
        <v>1.2</v>
      </c>
      <c r="B51" s="1">
        <v>417</v>
      </c>
    </row>
    <row r="52" spans="1:2" x14ac:dyDescent="0.4">
      <c r="A52" s="1">
        <v>1.25</v>
      </c>
      <c r="B52" s="1">
        <v>417</v>
      </c>
    </row>
    <row r="53" spans="1:2" x14ac:dyDescent="0.4">
      <c r="A53" s="1">
        <v>1.6666666666666667</v>
      </c>
      <c r="B53" s="1">
        <v>417</v>
      </c>
    </row>
    <row r="54" spans="1:2" x14ac:dyDescent="0.4">
      <c r="A54" s="1">
        <v>0.5</v>
      </c>
      <c r="B54" s="1">
        <v>417</v>
      </c>
    </row>
    <row r="55" spans="1:2" x14ac:dyDescent="0.4">
      <c r="A55" s="1">
        <v>0.83333333333333337</v>
      </c>
      <c r="B55" s="1">
        <v>417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901E-C9E4-4E10-AB65-0C670C8F71DC}">
  <dimension ref="A1:B7"/>
  <sheetViews>
    <sheetView tabSelected="1" workbookViewId="0">
      <selection activeCell="F4" sqref="F4"/>
    </sheetView>
  </sheetViews>
  <sheetFormatPr defaultRowHeight="13.8" x14ac:dyDescent="0.4"/>
  <cols>
    <col min="1" max="16384" width="8.796875" style="1"/>
  </cols>
  <sheetData>
    <row r="1" spans="1:2" x14ac:dyDescent="0.4">
      <c r="A1" s="1" t="s">
        <v>7</v>
      </c>
      <c r="B1" s="1" t="s">
        <v>4</v>
      </c>
    </row>
    <row r="2" spans="1:2" x14ac:dyDescent="0.4">
      <c r="A2" s="1">
        <v>0.875</v>
      </c>
      <c r="B2" s="1" t="s">
        <v>5</v>
      </c>
    </row>
    <row r="3" spans="1:2" x14ac:dyDescent="0.4">
      <c r="A3" s="1">
        <v>2.6666666666666665</v>
      </c>
      <c r="B3" s="1" t="s">
        <v>5</v>
      </c>
    </row>
    <row r="4" spans="1:2" x14ac:dyDescent="0.4">
      <c r="A4" s="1">
        <v>1</v>
      </c>
      <c r="B4" s="1" t="s">
        <v>5</v>
      </c>
    </row>
    <row r="5" spans="1:2" x14ac:dyDescent="0.4">
      <c r="A5" s="1">
        <v>0.72727272727272729</v>
      </c>
      <c r="B5" s="1" t="s">
        <v>5</v>
      </c>
    </row>
    <row r="6" spans="1:2" x14ac:dyDescent="0.4">
      <c r="A6" s="1">
        <v>2</v>
      </c>
      <c r="B6" s="1" t="s">
        <v>5</v>
      </c>
    </row>
    <row r="7" spans="1:2" x14ac:dyDescent="0.4">
      <c r="A7" s="1">
        <v>3.25</v>
      </c>
      <c r="B7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workbookViewId="0">
      <selection activeCell="G9" sqref="G9"/>
    </sheetView>
  </sheetViews>
  <sheetFormatPr defaultRowHeight="13.8" x14ac:dyDescent="0.4"/>
  <cols>
    <col min="1" max="1" width="13" style="1" bestFit="1" customWidth="1"/>
    <col min="2" max="3" width="8.796875" style="1"/>
    <col min="4" max="5" width="9.3984375" style="1" bestFit="1" customWidth="1"/>
    <col min="6" max="16384" width="8.796875" style="1"/>
  </cols>
  <sheetData>
    <row r="1" spans="1:5" x14ac:dyDescent="0.4">
      <c r="A1" s="1" t="s">
        <v>0</v>
      </c>
      <c r="B1" s="1" t="s">
        <v>1</v>
      </c>
      <c r="D1" s="2" t="s">
        <v>2</v>
      </c>
      <c r="E1" s="2" t="s">
        <v>3</v>
      </c>
    </row>
    <row r="2" spans="1:5" x14ac:dyDescent="0.4">
      <c r="A2" s="1">
        <f>E2/D2</f>
        <v>0.875</v>
      </c>
      <c r="B2" s="1" t="s">
        <v>6</v>
      </c>
      <c r="D2" s="1">
        <f>8*10^6</f>
        <v>8000000</v>
      </c>
      <c r="E2" s="1">
        <f>7*10^6</f>
        <v>7000000</v>
      </c>
    </row>
    <row r="3" spans="1:5" x14ac:dyDescent="0.4">
      <c r="A3" s="1">
        <f t="shared" ref="A3:A55" si="0">E3/D3</f>
        <v>2.6666666666666665</v>
      </c>
      <c r="B3" s="1" t="s">
        <v>6</v>
      </c>
      <c r="D3" s="1">
        <f>3*10^6</f>
        <v>3000000</v>
      </c>
      <c r="E3" s="1">
        <f>8*10^6</f>
        <v>8000000</v>
      </c>
    </row>
    <row r="4" spans="1:5" x14ac:dyDescent="0.4">
      <c r="A4" s="1">
        <f t="shared" si="0"/>
        <v>1</v>
      </c>
      <c r="B4" s="1" t="s">
        <v>6</v>
      </c>
      <c r="D4" s="1">
        <f>7*10^6</f>
        <v>7000000</v>
      </c>
      <c r="E4" s="1">
        <f>7*10^6</f>
        <v>7000000</v>
      </c>
    </row>
    <row r="5" spans="1:5" x14ac:dyDescent="0.4">
      <c r="A5" s="1">
        <f t="shared" si="0"/>
        <v>0.72727272727272729</v>
      </c>
      <c r="B5" s="1" t="s">
        <v>6</v>
      </c>
      <c r="D5" s="1">
        <f>11*10^6</f>
        <v>11000000</v>
      </c>
      <c r="E5" s="1">
        <f>8*10^6</f>
        <v>8000000</v>
      </c>
    </row>
    <row r="6" spans="1:5" x14ac:dyDescent="0.4">
      <c r="A6" s="1">
        <f t="shared" si="0"/>
        <v>2</v>
      </c>
      <c r="B6" s="1" t="s">
        <v>6</v>
      </c>
      <c r="D6" s="1">
        <f>5*10^6</f>
        <v>5000000</v>
      </c>
      <c r="E6" s="1">
        <f>10*10^6</f>
        <v>10000000</v>
      </c>
    </row>
    <row r="7" spans="1:5" x14ac:dyDescent="0.4">
      <c r="A7" s="1">
        <f t="shared" si="0"/>
        <v>3.25</v>
      </c>
      <c r="B7" s="1" t="s">
        <v>6</v>
      </c>
      <c r="D7" s="1">
        <f>4*10^6</f>
        <v>4000000</v>
      </c>
      <c r="E7" s="1">
        <f>13*10^6</f>
        <v>13000000</v>
      </c>
    </row>
    <row r="8" spans="1:5" x14ac:dyDescent="0.4">
      <c r="A8" s="3">
        <f t="shared" si="0"/>
        <v>1800</v>
      </c>
      <c r="B8" s="1">
        <v>57</v>
      </c>
      <c r="D8" s="1">
        <v>1000</v>
      </c>
      <c r="E8" s="1">
        <v>1800000</v>
      </c>
    </row>
    <row r="9" spans="1:5" x14ac:dyDescent="0.4">
      <c r="A9" s="4">
        <f t="shared" si="0"/>
        <v>1000</v>
      </c>
      <c r="B9" s="1">
        <v>57</v>
      </c>
      <c r="D9" s="1">
        <v>1200</v>
      </c>
      <c r="E9" s="1">
        <v>1200000</v>
      </c>
    </row>
    <row r="10" spans="1:5" x14ac:dyDescent="0.4">
      <c r="A10" s="4">
        <f t="shared" si="0"/>
        <v>800</v>
      </c>
      <c r="B10" s="1">
        <v>57</v>
      </c>
      <c r="D10" s="1">
        <v>2000</v>
      </c>
      <c r="E10" s="1">
        <v>1600000</v>
      </c>
    </row>
    <row r="11" spans="1:5" x14ac:dyDescent="0.4">
      <c r="A11" s="4">
        <f t="shared" si="0"/>
        <v>1857.1428571428571</v>
      </c>
      <c r="B11" s="1">
        <v>57</v>
      </c>
      <c r="D11" s="1">
        <v>700</v>
      </c>
      <c r="E11" s="1">
        <v>1300000</v>
      </c>
    </row>
    <row r="12" spans="1:5" x14ac:dyDescent="0.4">
      <c r="A12" s="4">
        <f t="shared" si="0"/>
        <v>1055.5555555555557</v>
      </c>
      <c r="B12" s="1">
        <v>57</v>
      </c>
      <c r="D12" s="1">
        <v>1800</v>
      </c>
      <c r="E12" s="1">
        <v>1900000</v>
      </c>
    </row>
    <row r="13" spans="1:5" x14ac:dyDescent="0.4">
      <c r="A13" s="4">
        <f t="shared" si="0"/>
        <v>1583.3333333333333</v>
      </c>
      <c r="B13" s="1">
        <v>57</v>
      </c>
      <c r="D13" s="1">
        <v>1200</v>
      </c>
      <c r="E13" s="1">
        <v>1900000</v>
      </c>
    </row>
    <row r="14" spans="1:5" x14ac:dyDescent="0.4">
      <c r="A14" s="4">
        <f t="shared" si="0"/>
        <v>28.571428571428573</v>
      </c>
      <c r="B14" s="1">
        <v>105</v>
      </c>
      <c r="D14" s="1">
        <f>28*10^3</f>
        <v>28000</v>
      </c>
      <c r="E14" s="1">
        <f>8*10^5</f>
        <v>800000</v>
      </c>
    </row>
    <row r="15" spans="1:5" x14ac:dyDescent="0.4">
      <c r="A15" s="4">
        <f t="shared" si="0"/>
        <v>86.206896551724142</v>
      </c>
      <c r="B15" s="1">
        <v>105</v>
      </c>
      <c r="D15" s="1">
        <f>29*10^3</f>
        <v>29000</v>
      </c>
      <c r="E15" s="1">
        <f>25*10^5</f>
        <v>2500000</v>
      </c>
    </row>
    <row r="16" spans="1:5" x14ac:dyDescent="0.4">
      <c r="A16" s="4">
        <f t="shared" si="0"/>
        <v>74.193548387096769</v>
      </c>
      <c r="B16" s="1">
        <v>105</v>
      </c>
      <c r="D16" s="1">
        <f>31*10^3</f>
        <v>31000</v>
      </c>
      <c r="E16" s="1">
        <f>23*10^5</f>
        <v>2300000</v>
      </c>
    </row>
    <row r="17" spans="1:5" x14ac:dyDescent="0.4">
      <c r="A17" s="4">
        <f t="shared" si="0"/>
        <v>42.307692307692307</v>
      </c>
      <c r="B17" s="1">
        <v>105</v>
      </c>
      <c r="D17" s="1">
        <f>26*10^3</f>
        <v>26000</v>
      </c>
      <c r="E17" s="1">
        <f>11*10^5</f>
        <v>1100000</v>
      </c>
    </row>
    <row r="18" spans="1:5" x14ac:dyDescent="0.4">
      <c r="A18" s="4">
        <f t="shared" si="0"/>
        <v>79.310344827586206</v>
      </c>
      <c r="B18" s="1">
        <v>105</v>
      </c>
      <c r="D18" s="1">
        <f>29*10^3</f>
        <v>29000</v>
      </c>
      <c r="E18" s="1">
        <f>23*10^5</f>
        <v>2300000</v>
      </c>
    </row>
    <row r="19" spans="1:5" x14ac:dyDescent="0.4">
      <c r="A19" s="4">
        <f t="shared" si="0"/>
        <v>66.666666666666671</v>
      </c>
      <c r="B19" s="1">
        <v>105</v>
      </c>
      <c r="D19" s="1">
        <f>6*10^4</f>
        <v>60000</v>
      </c>
      <c r="E19" s="1">
        <f>4*10^6</f>
        <v>4000000</v>
      </c>
    </row>
    <row r="20" spans="1:5" x14ac:dyDescent="0.4">
      <c r="A20" s="4">
        <f t="shared" si="0"/>
        <v>6.25</v>
      </c>
      <c r="B20" s="1">
        <v>153</v>
      </c>
      <c r="D20" s="1">
        <f>16*10^4</f>
        <v>160000</v>
      </c>
      <c r="E20" s="1">
        <f>10*10^5</f>
        <v>1000000</v>
      </c>
    </row>
    <row r="21" spans="1:5" x14ac:dyDescent="0.4">
      <c r="A21" s="4">
        <f t="shared" si="0"/>
        <v>31.111111111111111</v>
      </c>
      <c r="B21" s="1">
        <v>153</v>
      </c>
      <c r="D21" s="1">
        <f>9*10^4</f>
        <v>90000</v>
      </c>
      <c r="E21" s="1">
        <f>28*10^5</f>
        <v>2800000</v>
      </c>
    </row>
    <row r="22" spans="1:5" x14ac:dyDescent="0.4">
      <c r="A22" s="4">
        <f t="shared" si="0"/>
        <v>56.666666666666664</v>
      </c>
      <c r="B22" s="1">
        <v>153</v>
      </c>
      <c r="D22" s="1">
        <f>6*10^4</f>
        <v>60000</v>
      </c>
      <c r="E22" s="1">
        <f>34*10^5</f>
        <v>3400000</v>
      </c>
    </row>
    <row r="23" spans="1:5" x14ac:dyDescent="0.4">
      <c r="A23" s="4">
        <f t="shared" si="0"/>
        <v>18.333333333333332</v>
      </c>
      <c r="B23" s="1">
        <v>153</v>
      </c>
      <c r="D23" s="1">
        <f>12*10^4</f>
        <v>120000</v>
      </c>
      <c r="E23" s="1">
        <f>22*10^5</f>
        <v>2200000</v>
      </c>
    </row>
    <row r="24" spans="1:5" x14ac:dyDescent="0.4">
      <c r="A24" s="4">
        <f t="shared" si="0"/>
        <v>30</v>
      </c>
      <c r="B24" s="1">
        <v>153</v>
      </c>
      <c r="D24" s="1">
        <f>20*10^4</f>
        <v>200000</v>
      </c>
      <c r="E24" s="1">
        <f>6*10^6</f>
        <v>6000000</v>
      </c>
    </row>
    <row r="25" spans="1:5" x14ac:dyDescent="0.4">
      <c r="A25" s="4">
        <f t="shared" ref="A25:A37" si="1">E25/D25</f>
        <v>20</v>
      </c>
      <c r="B25" s="1">
        <v>153</v>
      </c>
      <c r="D25" s="1">
        <f>20*10^4</f>
        <v>200000</v>
      </c>
      <c r="E25" s="1">
        <f>4*10^6</f>
        <v>4000000</v>
      </c>
    </row>
    <row r="26" spans="1:5" x14ac:dyDescent="0.4">
      <c r="A26" s="4">
        <f t="shared" si="1"/>
        <v>6</v>
      </c>
      <c r="B26" s="1">
        <v>177</v>
      </c>
      <c r="D26" s="1">
        <f>5*10^5</f>
        <v>500000</v>
      </c>
      <c r="E26" s="1">
        <f>3*10^6</f>
        <v>3000000</v>
      </c>
    </row>
    <row r="27" spans="1:5" x14ac:dyDescent="0.4">
      <c r="A27" s="4">
        <f t="shared" si="1"/>
        <v>13.333333333333334</v>
      </c>
      <c r="B27" s="1">
        <v>177</v>
      </c>
      <c r="D27" s="1">
        <f>15*10^4</f>
        <v>150000</v>
      </c>
      <c r="E27" s="1">
        <f>2*10^6</f>
        <v>2000000</v>
      </c>
    </row>
    <row r="28" spans="1:5" x14ac:dyDescent="0.4">
      <c r="A28" s="4">
        <f t="shared" si="1"/>
        <v>15</v>
      </c>
      <c r="B28" s="1">
        <v>177</v>
      </c>
      <c r="D28" s="1">
        <f>2*10^5</f>
        <v>200000</v>
      </c>
      <c r="E28" s="1">
        <f>3*10^6</f>
        <v>3000000</v>
      </c>
    </row>
    <row r="29" spans="1:5" x14ac:dyDescent="0.4">
      <c r="A29" s="4">
        <f t="shared" si="1"/>
        <v>26.875</v>
      </c>
      <c r="B29" s="1">
        <v>177</v>
      </c>
      <c r="D29" s="1">
        <f>16*10^4</f>
        <v>160000</v>
      </c>
      <c r="E29" s="1">
        <f>43*10^5</f>
        <v>4300000</v>
      </c>
    </row>
    <row r="30" spans="1:5" x14ac:dyDescent="0.4">
      <c r="A30" s="4">
        <f t="shared" si="1"/>
        <v>21.05263157894737</v>
      </c>
      <c r="B30" s="1">
        <v>177</v>
      </c>
      <c r="D30" s="1">
        <f>19*10^4</f>
        <v>190000</v>
      </c>
      <c r="E30" s="1">
        <f>4*10^6</f>
        <v>4000000</v>
      </c>
    </row>
    <row r="31" spans="1:5" x14ac:dyDescent="0.4">
      <c r="A31" s="4">
        <f t="shared" si="1"/>
        <v>43.75</v>
      </c>
      <c r="B31" s="1">
        <v>177</v>
      </c>
      <c r="D31" s="1">
        <f>16*10^4</f>
        <v>160000</v>
      </c>
      <c r="E31" s="1">
        <f>7*10^6</f>
        <v>7000000</v>
      </c>
    </row>
    <row r="32" spans="1:5" x14ac:dyDescent="0.4">
      <c r="A32" s="4">
        <f t="shared" si="1"/>
        <v>1.3043478260869565</v>
      </c>
      <c r="B32" s="1">
        <v>201</v>
      </c>
      <c r="D32" s="1">
        <f>46*10^5</f>
        <v>4600000</v>
      </c>
      <c r="E32" s="1">
        <f>6*10^6</f>
        <v>6000000</v>
      </c>
    </row>
    <row r="33" spans="1:5" x14ac:dyDescent="0.4">
      <c r="A33" s="4">
        <f t="shared" si="1"/>
        <v>1.1818181818181819</v>
      </c>
      <c r="B33" s="1">
        <v>201</v>
      </c>
      <c r="D33" s="1">
        <f>11*10^6</f>
        <v>11000000</v>
      </c>
      <c r="E33" s="1">
        <f>13*10^6</f>
        <v>13000000</v>
      </c>
    </row>
    <row r="34" spans="1:5" x14ac:dyDescent="0.4">
      <c r="A34" s="4">
        <f t="shared" si="1"/>
        <v>1.4</v>
      </c>
      <c r="B34" s="1">
        <v>201</v>
      </c>
      <c r="D34" s="1">
        <f>30*10^5</f>
        <v>3000000</v>
      </c>
      <c r="E34" s="1">
        <f>42*10^5</f>
        <v>4200000</v>
      </c>
    </row>
    <row r="35" spans="1:5" x14ac:dyDescent="0.4">
      <c r="A35" s="4">
        <f t="shared" si="1"/>
        <v>3.5</v>
      </c>
      <c r="B35" s="1">
        <v>201</v>
      </c>
      <c r="D35" s="1">
        <f>2*10^6</f>
        <v>2000000</v>
      </c>
      <c r="E35" s="1">
        <f>7*10^6</f>
        <v>7000000</v>
      </c>
    </row>
    <row r="36" spans="1:5" x14ac:dyDescent="0.4">
      <c r="A36" s="4">
        <f t="shared" si="1"/>
        <v>1.3333333333333333</v>
      </c>
      <c r="B36" s="1">
        <v>201</v>
      </c>
      <c r="D36" s="1">
        <f>15*10^5</f>
        <v>1500000</v>
      </c>
      <c r="E36" s="1">
        <f>2*10^6</f>
        <v>2000000</v>
      </c>
    </row>
    <row r="37" spans="1:5" x14ac:dyDescent="0.4">
      <c r="A37" s="4">
        <f t="shared" si="1"/>
        <v>2.1428571428571428</v>
      </c>
      <c r="B37" s="1">
        <v>201</v>
      </c>
      <c r="D37" s="1">
        <f>14*10^5</f>
        <v>1400000</v>
      </c>
      <c r="E37" s="1">
        <f>3*10^6</f>
        <v>3000000</v>
      </c>
    </row>
    <row r="38" spans="1:5" x14ac:dyDescent="0.4">
      <c r="A38" s="4">
        <f t="shared" si="0"/>
        <v>1</v>
      </c>
      <c r="B38" s="1">
        <v>261</v>
      </c>
      <c r="D38" s="1">
        <f>6*10^6</f>
        <v>6000000</v>
      </c>
      <c r="E38" s="1">
        <f>6*10^6</f>
        <v>6000000</v>
      </c>
    </row>
    <row r="39" spans="1:5" x14ac:dyDescent="0.4">
      <c r="A39" s="4">
        <f t="shared" si="0"/>
        <v>1</v>
      </c>
      <c r="B39" s="1">
        <v>261</v>
      </c>
      <c r="D39" s="1">
        <f>8*10^6</f>
        <v>8000000</v>
      </c>
      <c r="E39" s="1">
        <f>8*10^6</f>
        <v>8000000</v>
      </c>
    </row>
    <row r="40" spans="1:5" x14ac:dyDescent="0.4">
      <c r="A40" s="4">
        <f t="shared" si="0"/>
        <v>1.5</v>
      </c>
      <c r="B40" s="1">
        <v>261</v>
      </c>
      <c r="D40" s="1">
        <f>2*10^6</f>
        <v>2000000</v>
      </c>
      <c r="E40" s="1">
        <f>3*10^6</f>
        <v>3000000</v>
      </c>
    </row>
    <row r="41" spans="1:5" x14ac:dyDescent="0.4">
      <c r="A41" s="4">
        <f t="shared" si="0"/>
        <v>2.2000000000000002</v>
      </c>
      <c r="B41" s="1">
        <v>261</v>
      </c>
      <c r="D41" s="1">
        <f>5*10^6</f>
        <v>5000000</v>
      </c>
      <c r="E41" s="1">
        <f>11*10^6</f>
        <v>11000000</v>
      </c>
    </row>
    <row r="42" spans="1:5" x14ac:dyDescent="0.4">
      <c r="A42" s="4">
        <f t="shared" si="0"/>
        <v>1.25</v>
      </c>
      <c r="B42" s="1">
        <v>261</v>
      </c>
      <c r="D42" s="1">
        <f>4*10^6</f>
        <v>4000000</v>
      </c>
      <c r="E42" s="1">
        <f>5*10^6</f>
        <v>5000000</v>
      </c>
    </row>
    <row r="43" spans="1:5" x14ac:dyDescent="0.4">
      <c r="A43" s="4">
        <f t="shared" si="0"/>
        <v>0.42857142857142855</v>
      </c>
      <c r="B43" s="1">
        <v>261</v>
      </c>
      <c r="D43" s="1">
        <f>7*10^6</f>
        <v>7000000</v>
      </c>
      <c r="E43" s="1">
        <f>3*10^6</f>
        <v>3000000</v>
      </c>
    </row>
    <row r="44" spans="1:5" x14ac:dyDescent="0.4">
      <c r="A44" s="4">
        <f t="shared" si="0"/>
        <v>0.66666666666666663</v>
      </c>
      <c r="B44" s="1">
        <v>309</v>
      </c>
      <c r="D44" s="1">
        <f>3*10^6</f>
        <v>3000000</v>
      </c>
      <c r="E44" s="1">
        <f>2*10^6</f>
        <v>2000000</v>
      </c>
    </row>
    <row r="45" spans="1:5" x14ac:dyDescent="0.4">
      <c r="A45" s="4">
        <f t="shared" si="0"/>
        <v>0.6</v>
      </c>
      <c r="B45" s="1">
        <v>309</v>
      </c>
      <c r="D45" s="1">
        <f>5*10^6</f>
        <v>5000000</v>
      </c>
      <c r="E45" s="1">
        <f>3*10^6</f>
        <v>3000000</v>
      </c>
    </row>
    <row r="46" spans="1:5" x14ac:dyDescent="0.4">
      <c r="A46" s="4">
        <f t="shared" si="0"/>
        <v>0.4</v>
      </c>
      <c r="B46" s="1">
        <v>309</v>
      </c>
      <c r="D46" s="1">
        <f>10*10^6</f>
        <v>10000000</v>
      </c>
      <c r="E46" s="1">
        <f>4*10^6</f>
        <v>4000000</v>
      </c>
    </row>
    <row r="47" spans="1:5" x14ac:dyDescent="0.4">
      <c r="A47" s="4">
        <f t="shared" si="0"/>
        <v>0.88888888888888884</v>
      </c>
      <c r="B47" s="1">
        <v>309</v>
      </c>
      <c r="D47" s="1">
        <f>9*10^6</f>
        <v>9000000</v>
      </c>
      <c r="E47" s="1">
        <f>8*10^6</f>
        <v>8000000</v>
      </c>
    </row>
    <row r="48" spans="1:5" x14ac:dyDescent="0.4">
      <c r="A48" s="4">
        <f t="shared" si="0"/>
        <v>0.54545454545454541</v>
      </c>
      <c r="B48" s="1">
        <v>309</v>
      </c>
      <c r="D48" s="1">
        <f>11*10^6</f>
        <v>11000000</v>
      </c>
      <c r="E48" s="1">
        <f>6*10^6</f>
        <v>6000000</v>
      </c>
    </row>
    <row r="49" spans="1:5" x14ac:dyDescent="0.4">
      <c r="A49" s="4">
        <f t="shared" si="0"/>
        <v>1.2222222222222223</v>
      </c>
      <c r="B49" s="1">
        <v>309</v>
      </c>
      <c r="D49" s="1">
        <f>9*10^6</f>
        <v>9000000</v>
      </c>
      <c r="E49" s="1">
        <f>11*10^6</f>
        <v>11000000</v>
      </c>
    </row>
    <row r="50" spans="1:5" x14ac:dyDescent="0.4">
      <c r="A50" s="4">
        <f t="shared" si="0"/>
        <v>1.1428571428571428</v>
      </c>
      <c r="B50" s="1">
        <v>417</v>
      </c>
      <c r="D50" s="1">
        <f>7*10^6</f>
        <v>7000000</v>
      </c>
      <c r="E50" s="1">
        <f>8*10^6</f>
        <v>8000000</v>
      </c>
    </row>
    <row r="51" spans="1:5" x14ac:dyDescent="0.4">
      <c r="A51" s="4">
        <f t="shared" si="0"/>
        <v>1.2</v>
      </c>
      <c r="B51" s="1">
        <v>417</v>
      </c>
      <c r="D51" s="1">
        <f>10*10^6</f>
        <v>10000000</v>
      </c>
      <c r="E51" s="1">
        <f>12*10^6</f>
        <v>12000000</v>
      </c>
    </row>
    <row r="52" spans="1:5" x14ac:dyDescent="0.4">
      <c r="A52" s="4">
        <f t="shared" si="0"/>
        <v>1.25</v>
      </c>
      <c r="B52" s="1">
        <v>417</v>
      </c>
      <c r="D52" s="1">
        <f>12*10^6</f>
        <v>12000000</v>
      </c>
      <c r="E52" s="1">
        <f>15*10^6</f>
        <v>15000000</v>
      </c>
    </row>
    <row r="53" spans="1:5" x14ac:dyDescent="0.4">
      <c r="A53" s="4">
        <f t="shared" si="0"/>
        <v>1.6666666666666667</v>
      </c>
      <c r="B53" s="1">
        <v>417</v>
      </c>
      <c r="D53" s="1">
        <f>6*10^6</f>
        <v>6000000</v>
      </c>
      <c r="E53" s="1">
        <f>10*10^6</f>
        <v>10000000</v>
      </c>
    </row>
    <row r="54" spans="1:5" x14ac:dyDescent="0.4">
      <c r="A54" s="4">
        <f t="shared" si="0"/>
        <v>0.5</v>
      </c>
      <c r="B54" s="1">
        <v>417</v>
      </c>
      <c r="D54" s="1">
        <f>18*10^6</f>
        <v>18000000</v>
      </c>
      <c r="E54" s="1">
        <f>9*10^6</f>
        <v>9000000</v>
      </c>
    </row>
    <row r="55" spans="1:5" x14ac:dyDescent="0.4">
      <c r="A55" s="4">
        <f t="shared" si="0"/>
        <v>0.83333333333333337</v>
      </c>
      <c r="B55" s="1">
        <v>417</v>
      </c>
      <c r="D55" s="1">
        <f>12*10^6</f>
        <v>12000000</v>
      </c>
      <c r="E55" s="1">
        <f>10*10^6</f>
        <v>10000000</v>
      </c>
    </row>
    <row r="56" spans="1:5" x14ac:dyDescent="0.4">
      <c r="A56" s="4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Cas3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chanwoo lee</dc:creator>
  <cp:lastModifiedBy>Chanwoo Lee</cp:lastModifiedBy>
  <dcterms:created xsi:type="dcterms:W3CDTF">2021-06-02T04:13:35Z</dcterms:created>
  <dcterms:modified xsi:type="dcterms:W3CDTF">2025-08-28T06:41:56Z</dcterms:modified>
</cp:coreProperties>
</file>